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jbai\Downloads\"/>
    </mc:Choice>
  </mc:AlternateContent>
  <xr:revisionPtr revIDLastSave="0" documentId="13_ncr:1_{FC1542EA-0B2F-4971-97F2-1CB8EB767DBA}" xr6:coauthVersionLast="47" xr6:coauthVersionMax="47" xr10:uidLastSave="{00000000-0000-0000-0000-000000000000}"/>
  <bookViews>
    <workbookView xWindow="6120" yWindow="5415" windowWidth="18630" windowHeight="12870" firstSheet="7" activeTab="7" xr2:uid="{6519CFF9-8317-4CFD-A6B4-C33E418E00DA}"/>
  </bookViews>
  <sheets>
    <sheet name="AM_STD" sheetId="1" r:id="rId1"/>
    <sheet name="AM_MAI" sheetId="2" r:id="rId2"/>
    <sheet name="AM_TAX" sheetId="3" r:id="rId3"/>
    <sheet name="CorewithAlts" sheetId="4" r:id="rId4"/>
    <sheet name="Domestic" sheetId="5" r:id="rId5"/>
    <sheet name="EN_STD" sheetId="6" r:id="rId6"/>
    <sheet name="EN_TAX" sheetId="7" r:id="rId7"/>
    <sheet name="Drifted example calculation" sheetId="8" r:id="rId8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8" l="1"/>
  <c r="B7" i="8"/>
  <c r="E3" i="8" a="1"/>
  <c r="E3" i="8"/>
  <c r="E4" i="8" a="1"/>
  <c r="E4" i="8"/>
  <c r="E5" i="8" a="1"/>
  <c r="E5" i="8"/>
  <c r="E2" i="8" a="1"/>
  <c r="E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<sst xmlns="http://schemas.openxmlformats.org/spreadsheetml/2006/main" count="534" uniqueCount="173">
  <si>
    <t>Global Core</t>
  </si>
  <si>
    <t>2080</t>
  </si>
  <si>
    <t>4060</t>
  </si>
  <si>
    <t>6040</t>
  </si>
  <si>
    <t>7525</t>
  </si>
  <si>
    <t>9010</t>
  </si>
  <si>
    <t>1000</t>
  </si>
  <si>
    <t>Drifted 2080</t>
  </si>
  <si>
    <t>Drifted 4060</t>
  </si>
  <si>
    <t>Drifted 6040</t>
  </si>
  <si>
    <t>Drifted 7525</t>
  </si>
  <si>
    <t>Drifted 9010</t>
  </si>
  <si>
    <t>Drifted 1000</t>
  </si>
  <si>
    <t>Name</t>
  </si>
  <si>
    <t>Ticker</t>
  </si>
  <si>
    <t>SPDR Bloomberg 1-3 Month T-Bill ETF</t>
  </si>
  <si>
    <t>BIL</t>
  </si>
  <si>
    <t>iShares Treasury Floating Rate Bond ETF</t>
  </si>
  <si>
    <t>TFLO</t>
  </si>
  <si>
    <t>SPDR Portfolio Short Term Treasury ETF</t>
  </si>
  <si>
    <t>SPTS</t>
  </si>
  <si>
    <t>SPDR Portfolio Intermediate Term Treasury ETF</t>
  </si>
  <si>
    <t>SPTI</t>
  </si>
  <si>
    <t>SPDR Portfolio Long Term Treasury ETF</t>
  </si>
  <si>
    <t>SPTL</t>
  </si>
  <si>
    <t>Schwab U.S. TIPS ETF</t>
  </si>
  <si>
    <t>SCHP</t>
  </si>
  <si>
    <t>iShares iBoxx $ Investment Grade Corporate Bond ETF</t>
  </si>
  <si>
    <t>LQD</t>
  </si>
  <si>
    <t>iShares Long-Term Corporate Bond ETF</t>
  </si>
  <si>
    <t>IGLB</t>
  </si>
  <si>
    <t>iShares MBS ETF</t>
  </si>
  <si>
    <t>MBB</t>
  </si>
  <si>
    <t>SPDR Bloomberg Barclays International Treasury Bond ETF</t>
  </si>
  <si>
    <t>BWX</t>
  </si>
  <si>
    <t>SPDR Gold MiniShares Trust</t>
  </si>
  <si>
    <t>GLDM</t>
  </si>
  <si>
    <t>PIMCO 0-5 Year High Yield Corporate Bond Index ETF</t>
  </si>
  <si>
    <t>HYS</t>
  </si>
  <si>
    <t>iShares Broad USD High Yield Corporate Bond ETF</t>
  </si>
  <si>
    <t>USHY</t>
  </si>
  <si>
    <t>iShares J.P. Morgan USD Emerging Markets Bond ETF</t>
  </si>
  <si>
    <t>XEMD</t>
  </si>
  <si>
    <t>Vanguard Value ETF</t>
  </si>
  <si>
    <t>VTV</t>
  </si>
  <si>
    <t>Vanguard Growth ETF</t>
  </si>
  <si>
    <t>VUG</t>
  </si>
  <si>
    <t>Vanguard Small-Cap Value ETF</t>
  </si>
  <si>
    <t>VBR</t>
  </si>
  <si>
    <t>Vanguard Small-Cap Growth ETF</t>
  </si>
  <si>
    <t>VBK</t>
  </si>
  <si>
    <t>iShares Edge MSCI Min Vol USA ETF</t>
  </si>
  <si>
    <t>USMV</t>
  </si>
  <si>
    <t>iShares MSCI EAFE Min Vol Factor ETF</t>
  </si>
  <si>
    <t>EFAV</t>
  </si>
  <si>
    <t>JPMorgan BetaBuilders Canada ETF</t>
  </si>
  <si>
    <t>BBCA</t>
  </si>
  <si>
    <t>iShares Core MSCI Europe ETF</t>
  </si>
  <si>
    <t>IEUR</t>
  </si>
  <si>
    <t>iShares MSCI Switzerland ETF</t>
  </si>
  <si>
    <t>EWL</t>
  </si>
  <si>
    <t>iShares Core MSCI Pacific ETF</t>
  </si>
  <si>
    <t>IPAC</t>
  </si>
  <si>
    <t>Vanguard FTSE All-World ex-US Small-Cap ETF</t>
  </si>
  <si>
    <t>VSS</t>
  </si>
  <si>
    <t>iShares Core MSCI Emerging Markets ETF</t>
  </si>
  <si>
    <t>IEMG</t>
  </si>
  <si>
    <t>SPDR S&amp;P China ETF</t>
  </si>
  <si>
    <t>FLCH</t>
  </si>
  <si>
    <t>Vanguard Real Estate ETF</t>
  </si>
  <si>
    <t>VNQ</t>
  </si>
  <si>
    <t xml:space="preserve">Vanguard Global ex-U.S. Real Estate ETF </t>
  </si>
  <si>
    <t>VNQI</t>
  </si>
  <si>
    <t>Multi-Asset Income</t>
  </si>
  <si>
    <t>EMB</t>
  </si>
  <si>
    <t>Vanguard High Dividend Yield ETF</t>
  </si>
  <si>
    <t>VYM</t>
  </si>
  <si>
    <t>iShares Select Dividend ETF</t>
  </si>
  <si>
    <t>DVY</t>
  </si>
  <si>
    <t>Franklin U.S. Dividend Multiplier Index ETF</t>
  </si>
  <si>
    <t>XUDV</t>
  </si>
  <si>
    <t>Schwab US Dividend Equity ETF</t>
  </si>
  <si>
    <t>SCHD</t>
  </si>
  <si>
    <t>WisdomTree U.S. SmallCap Dividend Fund</t>
  </si>
  <si>
    <t>DES</t>
  </si>
  <si>
    <t>Vanguard International High Dividend Yield ETF</t>
  </si>
  <si>
    <t>VYMI</t>
  </si>
  <si>
    <t>iShares International Select Dividend ETF</t>
  </si>
  <si>
    <t>IDV</t>
  </si>
  <si>
    <t>Franklin International Dividend Multiplier Index ETF</t>
  </si>
  <si>
    <t>XIDV</t>
  </si>
  <si>
    <t>SPDR S&amp;P International Dividend ETF</t>
  </si>
  <si>
    <t>DWX</t>
  </si>
  <si>
    <t>WisdomTree Emerging Markets High Dividend Fund</t>
  </si>
  <si>
    <t>DEM</t>
  </si>
  <si>
    <t>Vanguard Global ex-U.S. Real Estate ETF</t>
  </si>
  <si>
    <t>Global X U.S. Preferred ETF</t>
  </si>
  <si>
    <t>PFFD</t>
  </si>
  <si>
    <t>iShares Convertible Bond ETF</t>
  </si>
  <si>
    <t>ICVT</t>
  </si>
  <si>
    <t>iShares S&amp;P 500 BuyWrite ETF</t>
  </si>
  <si>
    <t>IVVW</t>
  </si>
  <si>
    <t>Tax-Sensitive</t>
  </si>
  <si>
    <t>SPDR Nuveen Bloomberg Barclays Municipal Bond ETF</t>
  </si>
  <si>
    <t>TFI</t>
  </si>
  <si>
    <t>iShares National Muni Bond ETF</t>
  </si>
  <si>
    <t>MUB</t>
  </si>
  <si>
    <t>SPDR Nuveen Bloomberg Barclays Short Term Municipal Bond ETF</t>
  </si>
  <si>
    <t>SHM</t>
  </si>
  <si>
    <t>BondBloxx IR+M Tax-Aware Short Duration ETF</t>
  </si>
  <si>
    <t>TAXX</t>
  </si>
  <si>
    <t>Invesco National AMT-Free Municipal Bond ETF</t>
  </si>
  <si>
    <t>PZA</t>
  </si>
  <si>
    <t>VanEck Vectors High-Yield Municipal Index ETF</t>
  </si>
  <si>
    <t>HYD</t>
  </si>
  <si>
    <t>iShares MSCI Canada ETF</t>
  </si>
  <si>
    <t>EWC</t>
  </si>
  <si>
    <t>Franklin FTSE China ETF</t>
  </si>
  <si>
    <t>Core with Alts</t>
  </si>
  <si>
    <t>KraneShares Ultra Short Duration Index ETF</t>
  </si>
  <si>
    <t>KCSH</t>
  </si>
  <si>
    <t>iShares MSCI USA Momentum Factor ETF</t>
  </si>
  <si>
    <t>MTUM</t>
  </si>
  <si>
    <t>KraneShares MSCI Emerging Markets ex China Index ETF</t>
  </si>
  <si>
    <t>KEMX</t>
  </si>
  <si>
    <t>KraneShares Bosera MSCI China A 50 Connect Index ETF</t>
  </si>
  <si>
    <t>KBA</t>
  </si>
  <si>
    <t>KraneShares CSI Overseas China Internet Index ETF</t>
  </si>
  <si>
    <t>KWEB</t>
  </si>
  <si>
    <t>Kraneshares Global Carbon strategy ETF</t>
  </si>
  <si>
    <t>KRBN</t>
  </si>
  <si>
    <t>KFA Mount Lucas Managed Futures Index Strategy ETF</t>
  </si>
  <si>
    <t>KMLM</t>
  </si>
  <si>
    <t>AGF U.S. Market Neutral Anti-Beta Fund</t>
  </si>
  <si>
    <t>BTAL</t>
  </si>
  <si>
    <t>KraneShares Man Buyout Beta Index ETF</t>
  </si>
  <si>
    <t>BUYO</t>
  </si>
  <si>
    <t>Saba Closed-End Funds ETF</t>
  </si>
  <si>
    <t>CEFS</t>
  </si>
  <si>
    <t>iShares bitcoin ETF</t>
  </si>
  <si>
    <t>IBIT</t>
  </si>
  <si>
    <t>U.S. Core</t>
  </si>
  <si>
    <t>iShares 1-3 Year Treasury Bond ETF</t>
  </si>
  <si>
    <t>iShares 7-10 Year Treasury Bond ETF</t>
  </si>
  <si>
    <t>iShares 20+ Year Treasury Bond ETF</t>
  </si>
  <si>
    <t>SPDR Gold MiniSharesSM Trust</t>
  </si>
  <si>
    <t>iShares Core S&amp;P 500 ETF</t>
  </si>
  <si>
    <t>IVV</t>
  </si>
  <si>
    <t>SPDR Dow Jones Industrial Average ETF Trust</t>
  </si>
  <si>
    <t>DIA</t>
  </si>
  <si>
    <t>Invesco QQQ Trust</t>
  </si>
  <si>
    <t>QQQ</t>
  </si>
  <si>
    <t>Vanguard Small-Cap ETF</t>
  </si>
  <si>
    <t>VB</t>
  </si>
  <si>
    <t>Xtrackers MSCI EAFE Hedged Equity ETF</t>
  </si>
  <si>
    <t>DBEF</t>
  </si>
  <si>
    <t>iShares Russell 1000 Value ETF</t>
  </si>
  <si>
    <t>IWD</t>
  </si>
  <si>
    <t>iShares Russell 1000 Growth ETF</t>
  </si>
  <si>
    <t>IWF</t>
  </si>
  <si>
    <t>iShares Russell 2000 Value ETF</t>
  </si>
  <si>
    <t>IWN</t>
  </si>
  <si>
    <t>iShares Russell 2000 Growth ETF</t>
  </si>
  <si>
    <t>IWO</t>
  </si>
  <si>
    <t>Rebalance Weight (t=0)</t>
  </si>
  <si>
    <t>Daily return (t=1)</t>
  </si>
  <si>
    <t>Daily return (t=2)</t>
  </si>
  <si>
    <t>Drifted weights (t=2)</t>
  </si>
  <si>
    <t>Asset 1</t>
  </si>
  <si>
    <t>Asset 2</t>
  </si>
  <si>
    <t>Asset 3</t>
  </si>
  <si>
    <t>Asset 4</t>
  </si>
  <si>
    <t>Total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</si>
</sst>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3" formatCode="_(* #,##0.00_);_(* \(#,##0.00\);_(* &quot;-&quot;??_);_(@_)"/>
    <numFmt numFmtId="164" formatCode="[Blue][=-9999]&quot;N/A&quot;;0.0%"/>
    <numFmt numFmtId="165" formatCode="_(* #,##0.0000_);_(* \(#,##0.0000\);_(* &quot;-&quot;??_);_(@_)"/>
    <numFmt numFmtId="166" formatCode="0.0%"/>
    <numFmt numFmtId="167" formatCode="#,##0.0000_);[Red]\(#,##0.0000\);[Black]#,##0.0000\ ;"/>
    <numFmt numFmtId="168" formatCode="[=-9999]&quot;N/A&quot;;0.0%"/>
    <numFmt numFmtId="169" formatCode="[=-9999]&quot;N/A&quot;;\ #,##0"/>
    <numFmt numFmtId="170" formatCode="[Blue][=-9999]&quot;N/A&quot;;0.0"/>
    <numFmt numFmtId="171" formatCode="#,##0.0000_);[Red]\(#,##0.0000\);[Blue]#,##0.0000\ ;"/>
    <numFmt numFmtId="172" formatCode="[=-9999]&quot;N/A&quot;;[Red][&lt;0]\(0.00%\);0.00%\ "/>
    <numFmt numFmtId="173" formatCode="[=-9999]&quot;N/A&quot;;0.00E+00\ "/>
    <numFmt numFmtId="174" formatCode="[=-9999]&quot;N/A&quot;;[Red]\(#,##0\);#,##0"/>
    <numFmt numFmtId="175" formatCode="_*\ #,##0.0;_*\ \-#,##0.0;_(* &quot;-&quot;??_);_(@_)"/>
    <numFmt numFmtId="176" formatCode="_*\ #,##0;\-#,##0;_(* &quot;-&quot;_);_(@_)"/>
    <numFmt numFmtId="177" formatCode="[Blue][&lt;1000]0.00;[&gt;=1000]#,###;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Tahoma"/>
      <family val="2"/>
    </font>
    <font>
      <b/>
      <sz val="8"/>
      <name val="Arial"/>
      <family val="2"/>
    </font>
    <font>
      <sz val="8"/>
      <color indexed="22"/>
      <name val="Arial"/>
      <family val="2"/>
    </font>
    <font>
      <sz val="8"/>
      <color indexed="8"/>
      <name val="Arial"/>
      <family val="2"/>
    </font>
    <font>
      <sz val="8"/>
      <color rgb="FF0000FF"/>
      <name val="Arial"/>
      <family val="2"/>
    </font>
    <font>
      <sz val="10"/>
      <color theme="0"/>
      <name val="Arial"/>
      <family val="2"/>
    </font>
    <font>
      <sz val="8"/>
      <color theme="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indexed="22"/>
      </patternFill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49" fontId="2" fillId="2" borderId="0" applyBorder="0" applyAlignment="0">
      <protection locked="0"/>
    </xf>
    <xf numFmtId="14" fontId="2" fillId="0" borderId="3">
      <alignment horizontal="right"/>
      <protection locked="0"/>
    </xf>
    <xf numFmtId="164" fontId="2" fillId="3" borderId="3">
      <alignment horizontal="right"/>
      <protection locked="0"/>
    </xf>
    <xf numFmtId="0" fontId="3" fillId="4" borderId="5" applyBorder="0" applyAlignment="0">
      <alignment horizontal="left"/>
      <protection hidden="1"/>
    </xf>
    <xf numFmtId="0" fontId="4" fillId="0" borderId="0"/>
    <xf numFmtId="43" fontId="4" fillId="0" borderId="0" applyFont="0" applyFill="0" applyBorder="0" applyAlignment="0" applyProtection="0"/>
    <xf numFmtId="0" fontId="5" fillId="7" borderId="6" applyNumberFormat="0" applyBorder="0">
      <alignment shrinkToFit="1"/>
      <protection locked="0"/>
    </xf>
    <xf numFmtId="170" fontId="2" fillId="8" borderId="3">
      <alignment horizontal="right"/>
      <protection locked="0"/>
    </xf>
    <xf numFmtId="43" fontId="2" fillId="8" borderId="3">
      <alignment horizontal="right"/>
      <protection locked="0"/>
    </xf>
    <xf numFmtId="170" fontId="2" fillId="8" borderId="3">
      <alignment horizontal="right"/>
      <protection locked="0"/>
    </xf>
    <xf numFmtId="170" fontId="2" fillId="8" borderId="3">
      <alignment horizontal="right"/>
      <protection locked="0"/>
    </xf>
    <xf numFmtId="0" fontId="10" fillId="0" borderId="0"/>
    <xf numFmtId="0" fontId="7" fillId="9" borderId="1" applyBorder="0" applyAlignment="0">
      <alignment horizontal="right" vertical="center" wrapText="1"/>
      <protection hidden="1"/>
    </xf>
    <xf numFmtId="165" fontId="3" fillId="5" borderId="1">
      <protection hidden="1"/>
    </xf>
    <xf numFmtId="14" fontId="3" fillId="5" borderId="0">
      <alignment horizontal="left" shrinkToFit="1"/>
      <protection hidden="1"/>
    </xf>
    <xf numFmtId="4" fontId="3" fillId="4" borderId="1" applyAlignment="0">
      <alignment horizontal="right" wrapText="1"/>
      <protection hidden="1"/>
    </xf>
    <xf numFmtId="0" fontId="3" fillId="4" borderId="1">
      <alignment horizontal="right" wrapText="1"/>
      <protection hidden="1"/>
    </xf>
    <xf numFmtId="174" fontId="3" fillId="5" borderId="1" applyBorder="0">
      <alignment horizontal="left" vertical="center"/>
    </xf>
    <xf numFmtId="167" fontId="3" fillId="4" borderId="4"/>
    <xf numFmtId="166" fontId="3" fillId="10" borderId="4" applyBorder="0">
      <protection hidden="1"/>
    </xf>
    <xf numFmtId="168" fontId="3" fillId="4" borderId="3" applyBorder="0" applyAlignment="0">
      <alignment horizontal="right"/>
      <protection hidden="1"/>
    </xf>
    <xf numFmtId="173" fontId="3" fillId="5" borderId="1">
      <alignment horizontal="left"/>
      <protection hidden="1"/>
    </xf>
    <xf numFmtId="175" fontId="3" fillId="5" borderId="4" applyBorder="0">
      <alignment horizontal="right"/>
      <protection hidden="1"/>
    </xf>
    <xf numFmtId="176" fontId="3" fillId="5" borderId="4" applyBorder="0">
      <alignment shrinkToFit="1"/>
      <protection hidden="1"/>
    </xf>
    <xf numFmtId="169" fontId="2" fillId="2" borderId="1" applyBorder="0" applyAlignment="0">
      <alignment horizontal="center" vertical="center"/>
      <protection locked="0"/>
    </xf>
    <xf numFmtId="171" fontId="2" fillId="8" borderId="4">
      <protection locked="0"/>
    </xf>
    <xf numFmtId="164" fontId="2" fillId="8" borderId="1">
      <alignment horizontal="right"/>
      <protection locked="0"/>
    </xf>
    <xf numFmtId="172" fontId="2" fillId="11" borderId="3">
      <alignment horizontal="right"/>
      <protection locked="0"/>
    </xf>
    <xf numFmtId="164" fontId="2" fillId="3" borderId="3">
      <alignment horizontal="right"/>
      <protection locked="0"/>
    </xf>
    <xf numFmtId="11" fontId="9" fillId="0" borderId="1">
      <alignment horizontal="left"/>
      <protection locked="0"/>
    </xf>
    <xf numFmtId="49" fontId="6" fillId="12" borderId="7" applyBorder="0" applyAlignment="0">
      <alignment horizontal="center" vertical="center" wrapText="1"/>
    </xf>
    <xf numFmtId="166" fontId="2" fillId="8" borderId="8" applyBorder="0">
      <alignment horizontal="center"/>
      <protection locked="0"/>
    </xf>
    <xf numFmtId="0" fontId="2" fillId="2" borderId="0" applyBorder="0" applyAlignment="0">
      <protection locked="0"/>
    </xf>
    <xf numFmtId="49" fontId="8" fillId="4" borderId="0" applyBorder="0" applyAlignment="0" applyProtection="0">
      <alignment horizontal="left" wrapText="1"/>
    </xf>
    <xf numFmtId="0" fontId="4" fillId="0" borderId="0"/>
    <xf numFmtId="0" fontId="4" fillId="9" borderId="0" applyNumberFormat="0" applyFont="0" applyBorder="0" applyAlignment="0" applyProtection="0"/>
    <xf numFmtId="9" fontId="4" fillId="0" borderId="0" applyFont="0" applyFill="0" applyBorder="0" applyAlignment="0" applyProtection="0"/>
    <xf numFmtId="164" fontId="2" fillId="8" borderId="1">
      <alignment horizontal="right"/>
      <protection locked="0"/>
    </xf>
    <xf numFmtId="0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172" fontId="2" fillId="11" borderId="3">
      <alignment horizontal="right"/>
      <protection locked="0" hidden="1"/>
    </xf>
    <xf numFmtId="49" fontId="6" fillId="12" borderId="7" applyBorder="0" applyAlignment="0">
      <alignment horizontal="center" vertical="center" wrapText="1"/>
      <protection hidden="1"/>
    </xf>
    <xf numFmtId="43" fontId="11" fillId="8" borderId="3">
      <alignment horizontal="right"/>
      <protection locked="0"/>
    </xf>
    <xf numFmtId="164" fontId="11" fillId="3" borderId="1">
      <alignment horizontal="right"/>
      <protection locked="0"/>
    </xf>
    <xf numFmtId="168" fontId="11" fillId="8" borderId="1">
      <alignment horizontal="right"/>
      <protection locked="0"/>
    </xf>
    <xf numFmtId="49" fontId="11" fillId="2" borderId="0" applyBorder="0" applyAlignment="0">
      <protection locked="0"/>
    </xf>
    <xf numFmtId="164" fontId="9" fillId="3" borderId="1">
      <alignment horizontal="right"/>
      <protection locked="0"/>
    </xf>
    <xf numFmtId="177" fontId="2" fillId="3" borderId="3" applyBorder="0">
      <protection locked="0"/>
    </xf>
    <xf numFmtId="0" fontId="1" fillId="0" borderId="0"/>
    <xf numFmtId="43" fontId="11" fillId="13" borderId="3">
      <alignment horizontal="right"/>
      <protection locked="0"/>
    </xf>
    <xf numFmtId="43" fontId="2" fillId="13" borderId="3">
      <alignment horizontal="right"/>
      <protection locked="0"/>
    </xf>
  </cellStyleXfs>
  <cellXfs count="20">
    <xf numFmtId="0" fontId="0" fillId="0" borderId="0" xfId="0"/>
    <xf numFmtId="49" fontId="2" fillId="2" borderId="1" xfId="2" applyBorder="1" applyAlignment="1">
      <alignment horizontal="right"/>
      <protection locked="0"/>
    </xf>
    <xf numFmtId="49" fontId="2" fillId="2" borderId="2" xfId="2" applyBorder="1" applyAlignment="1">
      <alignment horizontal="right"/>
      <protection locked="0"/>
    </xf>
    <xf numFmtId="14" fontId="2" fillId="0" borderId="3" xfId="3">
      <alignment horizontal="right"/>
      <protection locked="0"/>
    </xf>
    <xf numFmtId="164" fontId="2" fillId="3" borderId="3" xfId="4">
      <alignment horizontal="right"/>
      <protection locked="0"/>
    </xf>
    <xf numFmtId="164" fontId="2" fillId="3" borderId="4" xfId="4" applyBorder="1">
      <alignment horizontal="right"/>
      <protection locked="0"/>
    </xf>
    <xf numFmtId="164" fontId="2" fillId="0" borderId="3" xfId="4" applyFill="1">
      <alignment horizontal="right"/>
      <protection locked="0"/>
    </xf>
    <xf numFmtId="49" fontId="3" fillId="5" borderId="3" xfId="5" applyNumberFormat="1" applyFill="1" applyBorder="1" applyAlignment="1">
      <alignment horizontal="left"/>
      <protection hidden="1"/>
    </xf>
    <xf numFmtId="0" fontId="3" fillId="4" borderId="3" xfId="5" applyBorder="1" applyAlignment="1">
      <alignment horizontal="left"/>
      <protection hidden="1"/>
    </xf>
    <xf numFmtId="49" fontId="3" fillId="4" borderId="3" xfId="5" applyNumberFormat="1" applyBorder="1" applyAlignment="1">
      <alignment horizontal="left"/>
      <protection hidden="1"/>
    </xf>
    <xf numFmtId="10" fontId="0" fillId="0" borderId="0" xfId="1" applyNumberFormat="1" applyFont="1"/>
    <xf numFmtId="14" fontId="2" fillId="0" borderId="10" xfId="3" applyBorder="1">
      <alignment horizontal="right"/>
      <protection locked="0"/>
    </xf>
    <xf numFmtId="10" fontId="0" fillId="0" borderId="0" xfId="0" applyNumberFormat="1"/>
    <xf numFmtId="9" fontId="0" fillId="0" borderId="0" xfId="0" applyNumberFormat="1"/>
    <xf numFmtId="49" fontId="3" fillId="6" borderId="7" xfId="5" applyNumberFormat="1" applyFill="1" applyBorder="1" applyAlignment="1">
      <alignment horizontal="left"/>
      <protection hidden="1"/>
    </xf>
    <xf numFmtId="14" fontId="2" fillId="0" borderId="1" xfId="3" applyBorder="1">
      <alignment horizontal="right"/>
      <protection locked="0"/>
    </xf>
    <xf numFmtId="0" fontId="3" fillId="5" borderId="4" xfId="5" applyFill="1" applyBorder="1" applyAlignment="1">
      <alignment horizontal="left"/>
      <protection hidden="1"/>
    </xf>
    <xf numFmtId="0" fontId="3" fillId="5" borderId="3" xfId="5" applyFill="1" applyBorder="1" applyAlignment="1">
      <alignment horizontal="left"/>
      <protection hidden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</cellXfs>
  <cellStyles count="63">
    <cellStyle name="Comma 2" xfId="42" xr:uid="{28B9A8AD-10D4-4224-807C-1DAF1570142C}"/>
    <cellStyle name="Comma 3" xfId="46" xr:uid="{9276400E-8E69-4645-BEA2-F44D61373694}"/>
    <cellStyle name="Comma 4" xfId="7" xr:uid="{49AD0195-7455-4C22-BAE9-84966EA28F62}"/>
    <cellStyle name="DataDate" xfId="3" xr:uid="{F492B062-F24D-407F-BF02-1668AEDFCC4A}"/>
    <cellStyle name="DataEdit" xfId="8" xr:uid="{D632689C-AF6A-4697-AB9A-FC3FD5377CC5}"/>
    <cellStyle name="DataFloat" xfId="9" xr:uid="{ED7D9A43-8734-42E9-8A1B-ADCC8F82BBFA}"/>
    <cellStyle name="DataFloat2" xfId="10" xr:uid="{0EBD9633-D214-4B13-A8B0-777EEEA16122}"/>
    <cellStyle name="DataFloat2Inactive" xfId="54" xr:uid="{11015357-ED98-43AD-96A4-F3FD893678DC}"/>
    <cellStyle name="DataFloat2Shaded" xfId="62" xr:uid="{B30DE800-03B2-4276-AE21-12DEDFC0EACD}"/>
    <cellStyle name="DataFloat2ShadedInactive" xfId="61" xr:uid="{33507BCE-DDD1-4E2C-A5A5-879ECD97C8ED}"/>
    <cellStyle name="DataFloatDefaultThree" xfId="11" xr:uid="{7D3E1971-9EF1-4D3F-B089-C23240ACF6BF}"/>
    <cellStyle name="DataFloatDefaultZero" xfId="12" xr:uid="{5F5DC9EB-536D-4A21-AD1E-7842B18C3027}"/>
    <cellStyle name="DataHide" xfId="13" xr:uid="{50BCB50A-9D87-4454-ACF3-AE3C735ACB6C}"/>
    <cellStyle name="DataHideGray" xfId="14" xr:uid="{97EDA60B-73A2-4F38-8D24-BE7200FD88A8}"/>
    <cellStyle name="DataInactiveCorrelation" xfId="15" xr:uid="{5A21DFFA-0FE0-440B-8DFA-CD93E4833047}"/>
    <cellStyle name="DataInactiveDate" xfId="16" xr:uid="{CB64C709-2C54-4ECB-A027-F19335022BF4}"/>
    <cellStyle name="DataInactiveFloat" xfId="17" xr:uid="{3794592A-4FCE-4220-9506-A41ED22A4686}"/>
    <cellStyle name="DataInactiveGrid" xfId="18" xr:uid="{188DE1C3-258F-4BAC-B9E3-D331FE5BFFE6}"/>
    <cellStyle name="DataInactiveInt" xfId="19" xr:uid="{158C51C5-CD73-4722-A2A0-2822D381B4F9}"/>
    <cellStyle name="DataInactiveNumberColumn" xfId="20" xr:uid="{1D6177F1-81EC-4E4F-8AA2-DA9D143DDFBD}"/>
    <cellStyle name="DataInactivePercent" xfId="21" xr:uid="{448A511A-A006-48B7-9ABF-46692EA4FBAD}"/>
    <cellStyle name="DataInactivePercentZero" xfId="22" xr:uid="{816D59C1-226C-4B8C-B214-CF53C0AB1D8B}"/>
    <cellStyle name="DataInactiveScientific" xfId="23" xr:uid="{FDCFEF46-2DAB-4EDD-85E5-02FFE616A3C9}"/>
    <cellStyle name="DataInactiveShares" xfId="24" xr:uid="{40A7D04E-3179-46B6-B176-3419DB39B132}"/>
    <cellStyle name="DataInactiveText" xfId="5" xr:uid="{D38CD6FD-DA70-4C0C-A078-EC5B58F7DBAA}"/>
    <cellStyle name="DataInactiveValue" xfId="25" xr:uid="{6D053734-1402-40E1-A05B-C191C3743A9E}"/>
    <cellStyle name="DataInt" xfId="26" xr:uid="{C0C00A2B-460F-4A19-8364-37DC367DC344}"/>
    <cellStyle name="DataNumberColumn" xfId="27" xr:uid="{FBEF2D5A-822D-444A-9992-F010DCB2261B}"/>
    <cellStyle name="DataPercentBounds" xfId="28" xr:uid="{535B5CE0-70E4-4FFF-A461-EFD77FB48B30}"/>
    <cellStyle name="DataPercentConstraintBounds" xfId="39" xr:uid="{5B54E5D4-F407-41AB-A3D5-7A273FD99D1E}"/>
    <cellStyle name="DataPercentConstraintBoundsInactive" xfId="56" xr:uid="{B66BC901-413E-4BB8-A7FB-7B49E6221498}"/>
    <cellStyle name="DataPercentDefault" xfId="29" xr:uid="{3CF1BE94-31ED-45B1-9D28-83DCECE1448E}"/>
    <cellStyle name="DataPercentDefaultHideFormula" xfId="52" xr:uid="{1FDFAB49-631E-42CC-994B-91AA315915A3}"/>
    <cellStyle name="DataPercentPositive" xfId="30" xr:uid="{AFF90430-C486-4185-B3B6-6511439B4EE0}"/>
    <cellStyle name="DataPercentZero" xfId="4" xr:uid="{31460FA7-6F13-4626-803F-5FBC25A42400}"/>
    <cellStyle name="DataPercentZeroBorder" xfId="58" xr:uid="{610BED65-3BC0-42F8-B4A4-E92B3ECD827E}"/>
    <cellStyle name="DataPercentZeroBorderInactive" xfId="55" xr:uid="{41035BAE-A718-424A-9A9F-85225C0C9763}"/>
    <cellStyle name="DataPriceZero" xfId="59" xr:uid="{40CB0F83-35AA-4154-B2D1-52970A0016FD}"/>
    <cellStyle name="DataScientific2" xfId="31" xr:uid="{7894851E-A014-41FB-985D-4CF7E4E73728}"/>
    <cellStyle name="DataText" xfId="2" xr:uid="{CD77E262-1A38-4B1C-A42B-B3E7F7D9338D}"/>
    <cellStyle name="DataTextInactive" xfId="57" xr:uid="{8DD34950-5245-49B6-ACC7-3FEDD543A5D3}"/>
    <cellStyle name="DataTitle" xfId="32" xr:uid="{707BE696-95BB-47CD-9244-8B17B81A3AC1}"/>
    <cellStyle name="DataTitleHideFormula" xfId="53" xr:uid="{72376C41-22EC-48FF-ACF8-955A473DCB6C}"/>
    <cellStyle name="DataTrueFalse" xfId="33" xr:uid="{07A2A51D-FA2E-4FCF-87B6-1CB9D14C977A}"/>
    <cellStyle name="DataYesNo" xfId="34" xr:uid="{A78EABD2-9195-44D7-BE56-795EF57BD134}"/>
    <cellStyle name="nfaList" xfId="35" xr:uid="{632B71AD-2CC2-49F1-BA6B-F994C74000F2}"/>
    <cellStyle name="Normal" xfId="0" builtinId="0"/>
    <cellStyle name="Normal 2" xfId="36" xr:uid="{ADC8E1EF-7589-449F-A478-80C36B0D68DD}"/>
    <cellStyle name="Normal 3" xfId="41" xr:uid="{E0D67014-636B-419F-99C8-A3BB3813205E}"/>
    <cellStyle name="Normal 4" xfId="40" xr:uid="{071104DA-4472-4E2A-932B-AF8BC70792D7}"/>
    <cellStyle name="Normal 4 2" xfId="51" xr:uid="{BFF981F5-1786-4B30-A45E-571CB14D36D0}"/>
    <cellStyle name="Normal 4 3" xfId="48" xr:uid="{B343253B-E43A-4265-9516-AC51803044DA}"/>
    <cellStyle name="Normal 5" xfId="45" xr:uid="{A646879D-2827-4070-8F63-C44423D92EDA}"/>
    <cellStyle name="Normal 5 2" xfId="50" xr:uid="{E7198601-3669-44BE-90A9-C5CA6E91AFAB}"/>
    <cellStyle name="Normal 6" xfId="49" xr:uid="{249DED31-820D-497C-9E90-82A36F88D906}"/>
    <cellStyle name="Normal 7" xfId="44" xr:uid="{1D8412B4-BA12-49C4-955F-93A7117E69DB}"/>
    <cellStyle name="Normal 8" xfId="60" xr:uid="{59F78B0D-512B-458B-BFA5-39CF20E9C8A9}"/>
    <cellStyle name="Normal 9" xfId="6" xr:uid="{A4B767C4-D50C-451D-980F-EB4197C93376}"/>
    <cellStyle name="NormalGrey" xfId="37" xr:uid="{FAA953DB-4697-4CD8-8EA9-2F922D6C9D66}"/>
    <cellStyle name="Percent" xfId="1" builtinId="5"/>
    <cellStyle name="Percent 2" xfId="43" xr:uid="{BEA47309-8EB7-42EB-819C-46E61F59ADA1}"/>
    <cellStyle name="Percent 3" xfId="47" xr:uid="{8880A183-6FAE-4703-8293-53EA4139BF15}"/>
    <cellStyle name="Percent 4" xfId="38" xr:uid="{0CF0C054-0A08-4FC5-8898-9AF4DDC5B8EF}"/>
  </cellStyles>
  <dxfs count="0"/>
  <tableStyles count="1" defaultTableStyle="TableStyleMedium2" defaultPivotStyle="PivotStyleLight16">
    <tableStyle name="MySqlDefault" pivot="0" table="0" count="0" xr9:uid="{303AADDD-E8D8-4052-A7E6-754086D598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B8E7-B50A-45BC-B4BD-21403E8A0691}">
  <dimension ref="A1:N31"/>
  <sheetViews>
    <sheetView workbookViewId="0">
      <selection activeCell="D7" sqref="D7"/>
    </sheetView>
  </sheetViews>
  <sheetFormatPr defaultRowHeight="15"/>
  <cols>
    <col min="1" max="1" width="51.42578125" customWidth="1"/>
  </cols>
  <sheetData>
    <row r="1" spans="1:14">
      <c r="A1" s="18" t="s">
        <v>0</v>
      </c>
      <c r="B1" s="19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4" t="s">
        <v>13</v>
      </c>
      <c r="B2" s="14" t="s">
        <v>14</v>
      </c>
      <c r="C2" s="11">
        <v>45996</v>
      </c>
      <c r="D2" s="3">
        <v>45996</v>
      </c>
      <c r="E2" s="3">
        <v>45996</v>
      </c>
      <c r="F2" s="3">
        <v>45996</v>
      </c>
      <c r="G2" s="3">
        <v>45996</v>
      </c>
      <c r="H2" s="3">
        <v>45996</v>
      </c>
      <c r="I2" s="3">
        <v>46108</v>
      </c>
      <c r="J2" s="3">
        <v>46108</v>
      </c>
      <c r="K2" s="3">
        <v>46108</v>
      </c>
      <c r="L2" s="3">
        <v>46108</v>
      </c>
      <c r="M2" s="3">
        <v>46108</v>
      </c>
      <c r="N2" s="3">
        <v>46108</v>
      </c>
    </row>
    <row r="3" spans="1:14">
      <c r="A3" s="17" t="s">
        <v>15</v>
      </c>
      <c r="B3" s="7" t="s">
        <v>16</v>
      </c>
      <c r="C3" s="4">
        <v>0.02</v>
      </c>
      <c r="D3" s="5">
        <v>0.02</v>
      </c>
      <c r="E3" s="4">
        <v>0.02</v>
      </c>
      <c r="F3" s="4">
        <v>0.02</v>
      </c>
      <c r="G3" s="4">
        <v>0.02</v>
      </c>
      <c r="H3" s="4">
        <v>0.02</v>
      </c>
      <c r="I3" s="4">
        <v>2.0249057778064197E-2</v>
      </c>
      <c r="J3" s="4">
        <v>2.0336241437254418E-2</v>
      </c>
      <c r="K3" s="4">
        <v>2.0458156130251644E-2</v>
      </c>
      <c r="L3" s="4">
        <v>2.0555581598228293E-2</v>
      </c>
      <c r="M3" s="4">
        <v>2.0660345881701243E-2</v>
      </c>
      <c r="N3" s="4">
        <v>2.0771836804804999E-2</v>
      </c>
    </row>
    <row r="4" spans="1:14">
      <c r="A4" s="8" t="s">
        <v>17</v>
      </c>
      <c r="B4" s="7" t="s">
        <v>18</v>
      </c>
      <c r="C4" s="4">
        <v>0.18609999999999999</v>
      </c>
      <c r="D4" s="4">
        <v>9.3899999999999997E-2</v>
      </c>
      <c r="E4" s="4">
        <v>3.78E-2</v>
      </c>
      <c r="F4" s="4">
        <v>1.6E-2</v>
      </c>
      <c r="G4" s="4">
        <v>0</v>
      </c>
      <c r="H4" s="4">
        <v>0</v>
      </c>
      <c r="I4" s="4">
        <v>0.1885957962748307</v>
      </c>
      <c r="J4" s="4">
        <v>9.5569012186442509E-2</v>
      </c>
      <c r="K4" s="4">
        <v>3.8702507552815985E-2</v>
      </c>
      <c r="L4" s="4">
        <v>1.646002791419553E-2</v>
      </c>
      <c r="M4" s="4">
        <v>0</v>
      </c>
      <c r="N4" s="4">
        <v>0</v>
      </c>
    </row>
    <row r="5" spans="1:14">
      <c r="A5" s="9" t="s">
        <v>19</v>
      </c>
      <c r="B5" s="7" t="s">
        <v>20</v>
      </c>
      <c r="C5" s="4">
        <v>5.0700000000000002E-2</v>
      </c>
      <c r="D5" s="4">
        <v>3.61E-2</v>
      </c>
      <c r="E5" s="4">
        <v>1.3899999999999999E-2</v>
      </c>
      <c r="F5" s="4">
        <v>5.3E-3</v>
      </c>
      <c r="G5" s="4">
        <v>0</v>
      </c>
      <c r="H5" s="4">
        <v>0</v>
      </c>
      <c r="I5" s="4">
        <v>5.0986296090427763E-2</v>
      </c>
      <c r="J5" s="4">
        <v>3.6460160489618053E-2</v>
      </c>
      <c r="K5" s="4">
        <v>1.4122837879056606E-2</v>
      </c>
      <c r="L5" s="4">
        <v>5.4106111551541925E-3</v>
      </c>
      <c r="M5" s="4">
        <v>0</v>
      </c>
      <c r="N5" s="4">
        <v>0</v>
      </c>
    </row>
    <row r="6" spans="1:14">
      <c r="A6" s="8" t="s">
        <v>21</v>
      </c>
      <c r="B6" s="7" t="s">
        <v>22</v>
      </c>
      <c r="C6" s="4">
        <v>0.18509999999999999</v>
      </c>
      <c r="D6" s="4">
        <v>7.8E-2</v>
      </c>
      <c r="E6" s="4">
        <v>2.52E-2</v>
      </c>
      <c r="F6" s="4">
        <v>5.1999999999999998E-3</v>
      </c>
      <c r="G6" s="4">
        <v>5.7000000000000002E-3</v>
      </c>
      <c r="H6" s="4">
        <v>0</v>
      </c>
      <c r="I6" s="4">
        <v>0.18446485757369901</v>
      </c>
      <c r="J6" s="4">
        <v>7.8067036694853681E-2</v>
      </c>
      <c r="K6" s="4">
        <v>2.5372860516342167E-2</v>
      </c>
      <c r="L6" s="4">
        <v>5.2606028433331391E-3</v>
      </c>
      <c r="M6" s="4">
        <v>5.7958194252856025E-3</v>
      </c>
      <c r="N6" s="4">
        <v>0</v>
      </c>
    </row>
    <row r="7" spans="1:14">
      <c r="A7" s="8" t="s">
        <v>23</v>
      </c>
      <c r="B7" s="7" t="s">
        <v>24</v>
      </c>
      <c r="C7" s="4">
        <v>2.9399999999999999E-2</v>
      </c>
      <c r="D7" s="4">
        <v>6.7799999999999999E-2</v>
      </c>
      <c r="E7" s="4">
        <v>6.4600000000000005E-2</v>
      </c>
      <c r="F7" s="4">
        <v>4.6699999999999998E-2</v>
      </c>
      <c r="G7" s="4">
        <v>1.37E-2</v>
      </c>
      <c r="H7" s="4">
        <v>0</v>
      </c>
      <c r="I7" s="4">
        <v>2.8983760428009046E-2</v>
      </c>
      <c r="J7" s="4">
        <v>6.7127885058184567E-2</v>
      </c>
      <c r="K7" s="4">
        <v>6.4343041763913242E-2</v>
      </c>
      <c r="L7" s="4">
        <v>4.6735751564720547E-2</v>
      </c>
      <c r="M7" s="4">
        <v>1.3780365491381254E-2</v>
      </c>
      <c r="N7" s="4">
        <v>0</v>
      </c>
    </row>
    <row r="8" spans="1:14">
      <c r="A8" s="8" t="s">
        <v>25</v>
      </c>
      <c r="B8" s="7" t="s">
        <v>26</v>
      </c>
      <c r="C8" s="4">
        <v>6.3600000000000004E-2</v>
      </c>
      <c r="D8" s="4">
        <v>4.5100000000000001E-2</v>
      </c>
      <c r="E8" s="4">
        <v>2.1600000000000001E-2</v>
      </c>
      <c r="F8" s="4">
        <v>8.6999999999999994E-3</v>
      </c>
      <c r="G8" s="4">
        <v>0</v>
      </c>
      <c r="H8" s="4">
        <v>0</v>
      </c>
      <c r="I8" s="4">
        <v>6.3449024666008449E-2</v>
      </c>
      <c r="J8" s="4">
        <v>4.518666053172584E-2</v>
      </c>
      <c r="K8" s="4">
        <v>2.1771244500319871E-2</v>
      </c>
      <c r="L8" s="4">
        <v>8.8107329291430819E-3</v>
      </c>
      <c r="M8" s="4">
        <v>0</v>
      </c>
      <c r="N8" s="4">
        <v>0</v>
      </c>
    </row>
    <row r="9" spans="1:14">
      <c r="A9" s="8" t="s">
        <v>27</v>
      </c>
      <c r="B9" s="7" t="s">
        <v>28</v>
      </c>
      <c r="C9" s="4">
        <v>1.4999999999999999E-2</v>
      </c>
      <c r="D9" s="4">
        <v>2.2700000000000001E-2</v>
      </c>
      <c r="E9" s="4">
        <v>1.7299999999999999E-2</v>
      </c>
      <c r="F9" s="4">
        <v>8.6E-3</v>
      </c>
      <c r="G9" s="4">
        <v>5.0000000000000001E-3</v>
      </c>
      <c r="H9" s="4">
        <v>0</v>
      </c>
      <c r="I9" s="4">
        <v>1.4746280879067868E-2</v>
      </c>
      <c r="J9" s="4">
        <v>2.2412121578113321E-2</v>
      </c>
      <c r="K9" s="4">
        <v>1.7183000986248198E-2</v>
      </c>
      <c r="L9" s="4">
        <v>8.5825164329130579E-3</v>
      </c>
      <c r="M9" s="4">
        <v>5.0152665006187964E-3</v>
      </c>
      <c r="N9" s="4">
        <v>0</v>
      </c>
    </row>
    <row r="10" spans="1:14">
      <c r="A10" s="8" t="s">
        <v>29</v>
      </c>
      <c r="B10" s="7" t="s">
        <v>30</v>
      </c>
      <c r="C10" s="4">
        <v>0</v>
      </c>
      <c r="D10" s="4">
        <v>1.12E-2</v>
      </c>
      <c r="E10" s="4">
        <v>2.01E-2</v>
      </c>
      <c r="F10" s="4">
        <v>1.47E-2</v>
      </c>
      <c r="G10" s="4">
        <v>5.4000000000000003E-3</v>
      </c>
      <c r="H10" s="4">
        <v>0</v>
      </c>
      <c r="I10" s="4">
        <v>0</v>
      </c>
      <c r="J10" s="4">
        <v>1.0931146139261194E-2</v>
      </c>
      <c r="K10" s="4">
        <v>1.9735109235282162E-2</v>
      </c>
      <c r="L10" s="4">
        <v>1.4501872831139389E-2</v>
      </c>
      <c r="M10" s="4">
        <v>5.3543694763475719E-3</v>
      </c>
      <c r="N10" s="4">
        <v>0</v>
      </c>
    </row>
    <row r="11" spans="1:14">
      <c r="A11" s="8" t="s">
        <v>31</v>
      </c>
      <c r="B11" s="7" t="s">
        <v>32</v>
      </c>
      <c r="C11" s="6">
        <v>5.5100000000000003E-2</v>
      </c>
      <c r="D11" s="6">
        <v>2.3300000000000001E-2</v>
      </c>
      <c r="E11" s="6">
        <v>9.4999999999999998E-3</v>
      </c>
      <c r="F11" s="6">
        <v>5.3E-3</v>
      </c>
      <c r="G11" s="6">
        <v>0</v>
      </c>
      <c r="H11" s="6">
        <v>0</v>
      </c>
      <c r="I11" s="6">
        <v>5.5162988659366564E-2</v>
      </c>
      <c r="J11" s="6">
        <v>2.3427070233186881E-2</v>
      </c>
      <c r="K11" s="6">
        <v>9.6090723465419997E-3</v>
      </c>
      <c r="L11" s="6">
        <v>5.3863802370110519E-3</v>
      </c>
      <c r="M11" s="6">
        <v>0</v>
      </c>
      <c r="N11" s="6">
        <v>0</v>
      </c>
    </row>
    <row r="12" spans="1:14">
      <c r="A12" s="8" t="s">
        <v>33</v>
      </c>
      <c r="B12" s="7" t="s">
        <v>34</v>
      </c>
      <c r="C12" s="6">
        <v>0</v>
      </c>
      <c r="D12" s="6">
        <v>5.1999999999999998E-3</v>
      </c>
      <c r="E12" s="6">
        <v>5.1999999999999998E-3</v>
      </c>
      <c r="F12" s="6">
        <v>5.0000000000000001E-3</v>
      </c>
      <c r="G12" s="6">
        <v>0</v>
      </c>
      <c r="H12" s="6">
        <v>0</v>
      </c>
      <c r="I12" s="6">
        <v>0</v>
      </c>
      <c r="J12" s="6">
        <v>5.0781986552209633E-3</v>
      </c>
      <c r="K12" s="6">
        <v>5.1086421878639241E-3</v>
      </c>
      <c r="L12" s="6">
        <v>4.9355485317393597E-3</v>
      </c>
      <c r="M12" s="6">
        <v>0</v>
      </c>
      <c r="N12" s="6">
        <v>0</v>
      </c>
    </row>
    <row r="13" spans="1:14">
      <c r="A13" s="8" t="s">
        <v>35</v>
      </c>
      <c r="B13" s="7" t="s">
        <v>36</v>
      </c>
      <c r="C13" s="6">
        <v>1.95E-2</v>
      </c>
      <c r="D13" s="6">
        <v>3.0700000000000002E-2</v>
      </c>
      <c r="E13" s="6">
        <v>2.4799999999999999E-2</v>
      </c>
      <c r="F13" s="6">
        <v>1.5100000000000001E-2</v>
      </c>
      <c r="G13" s="6">
        <v>5.4000000000000003E-3</v>
      </c>
      <c r="H13" s="6">
        <v>0</v>
      </c>
      <c r="I13" s="6">
        <v>2.0973601454022509E-2</v>
      </c>
      <c r="J13" s="6">
        <v>3.316214737428181E-2</v>
      </c>
      <c r="K13" s="6">
        <v>2.6949564392653058E-2</v>
      </c>
      <c r="L13" s="6">
        <v>1.6486949083081855E-2</v>
      </c>
      <c r="M13" s="6">
        <v>5.92604476722524E-3</v>
      </c>
      <c r="N13" s="6">
        <v>0</v>
      </c>
    </row>
    <row r="14" spans="1:14">
      <c r="A14" s="8" t="s">
        <v>37</v>
      </c>
      <c r="B14" s="7" t="s">
        <v>38</v>
      </c>
      <c r="C14" s="6">
        <v>0.1007</v>
      </c>
      <c r="D14" s="6">
        <v>7.6600000000000001E-2</v>
      </c>
      <c r="E14" s="6">
        <v>5.9299999999999999E-2</v>
      </c>
      <c r="F14" s="6">
        <v>3.8800000000000001E-2</v>
      </c>
      <c r="G14" s="6">
        <v>1.84E-2</v>
      </c>
      <c r="H14" s="6">
        <v>0</v>
      </c>
      <c r="I14" s="6">
        <v>0.10020918668130062</v>
      </c>
      <c r="J14" s="6">
        <v>7.6554849336110231E-2</v>
      </c>
      <c r="K14" s="6">
        <v>5.9620337371637404E-2</v>
      </c>
      <c r="L14" s="6">
        <v>3.9195367605697286E-2</v>
      </c>
      <c r="M14" s="6">
        <v>1.8682227576271686E-2</v>
      </c>
      <c r="N14" s="6">
        <v>0</v>
      </c>
    </row>
    <row r="15" spans="1:14">
      <c r="A15" s="8" t="s">
        <v>39</v>
      </c>
      <c r="B15" s="7" t="s">
        <v>40</v>
      </c>
      <c r="C15" s="6">
        <v>3.1300000000000001E-2</v>
      </c>
      <c r="D15" s="6">
        <v>3.5900000000000001E-2</v>
      </c>
      <c r="E15" s="6">
        <v>3.2500000000000001E-2</v>
      </c>
      <c r="F15" s="6">
        <v>2.86E-2</v>
      </c>
      <c r="G15" s="6">
        <v>1.2699999999999999E-2</v>
      </c>
      <c r="H15" s="6">
        <v>0</v>
      </c>
      <c r="I15" s="6">
        <v>3.0668250155193508E-2</v>
      </c>
      <c r="J15" s="6">
        <v>3.5326855166240387E-2</v>
      </c>
      <c r="K15" s="6">
        <v>3.2172861514980659E-2</v>
      </c>
      <c r="L15" s="6">
        <v>2.8446945599596572E-2</v>
      </c>
      <c r="M15" s="6">
        <v>1.2696416148806686E-2</v>
      </c>
      <c r="N15" s="6">
        <v>0</v>
      </c>
    </row>
    <row r="16" spans="1:14">
      <c r="A16" s="8" t="s">
        <v>41</v>
      </c>
      <c r="B16" s="7" t="s">
        <v>42</v>
      </c>
      <c r="C16" s="6">
        <v>3.0499999999999999E-2</v>
      </c>
      <c r="D16" s="6">
        <v>3.9100000000000003E-2</v>
      </c>
      <c r="E16" s="6">
        <v>3.5799999999999998E-2</v>
      </c>
      <c r="F16" s="6">
        <v>2.3900000000000001E-2</v>
      </c>
      <c r="G16" s="6">
        <v>8.3999999999999995E-3</v>
      </c>
      <c r="H16" s="6">
        <v>0</v>
      </c>
      <c r="I16" s="6">
        <v>3.0546637794701913E-2</v>
      </c>
      <c r="J16" s="6">
        <v>3.9328393184693645E-2</v>
      </c>
      <c r="K16" s="6">
        <v>3.6224989787712096E-2</v>
      </c>
      <c r="L16" s="6">
        <v>2.4298889525316447E-2</v>
      </c>
      <c r="M16" s="6">
        <v>8.583721735438336E-3</v>
      </c>
      <c r="N16" s="6">
        <v>0</v>
      </c>
    </row>
    <row r="17" spans="1:14">
      <c r="A17" s="8" t="s">
        <v>43</v>
      </c>
      <c r="B17" s="7" t="s">
        <v>44</v>
      </c>
      <c r="C17" s="6">
        <v>4.7100000000000003E-2</v>
      </c>
      <c r="D17" s="6">
        <v>8.3799999999999999E-2</v>
      </c>
      <c r="E17" s="6">
        <v>0.1321</v>
      </c>
      <c r="F17" s="6">
        <v>0.17610000000000001</v>
      </c>
      <c r="G17" s="6">
        <v>0.2167</v>
      </c>
      <c r="H17" s="6">
        <v>0.20699999999999999</v>
      </c>
      <c r="I17" s="6">
        <v>4.8427520196025156E-2</v>
      </c>
      <c r="J17" s="6">
        <v>8.653289074396997E-2</v>
      </c>
      <c r="K17" s="6">
        <v>0.1372258123815886</v>
      </c>
      <c r="L17" s="6">
        <v>0.1838042839631738</v>
      </c>
      <c r="M17" s="6">
        <v>0.22733327234865316</v>
      </c>
      <c r="N17" s="6">
        <v>0.2183291638525858</v>
      </c>
    </row>
    <row r="18" spans="1:14">
      <c r="A18" s="8" t="s">
        <v>45</v>
      </c>
      <c r="B18" s="7" t="s">
        <v>46</v>
      </c>
      <c r="C18" s="6">
        <v>2.2499999999999999E-2</v>
      </c>
      <c r="D18" s="6">
        <v>5.7000000000000002E-2</v>
      </c>
      <c r="E18" s="6">
        <v>0.1007</v>
      </c>
      <c r="F18" s="6">
        <v>0.13919999999999999</v>
      </c>
      <c r="G18" s="6">
        <v>0.184</v>
      </c>
      <c r="H18" s="6">
        <v>0.2145</v>
      </c>
      <c r="I18" s="6">
        <v>1.9304428019603134E-2</v>
      </c>
      <c r="J18" s="6">
        <v>4.9115112765793757E-2</v>
      </c>
      <c r="K18" s="6">
        <v>8.7290214313759412E-2</v>
      </c>
      <c r="L18" s="6">
        <v>0.12123795577187498</v>
      </c>
      <c r="M18" s="6">
        <v>0.16107383965346342</v>
      </c>
      <c r="N18" s="6">
        <v>0.18878687556540683</v>
      </c>
    </row>
    <row r="19" spans="1:14">
      <c r="A19" s="8" t="s">
        <v>47</v>
      </c>
      <c r="B19" s="7" t="s">
        <v>48</v>
      </c>
      <c r="C19" s="6">
        <v>1.12E-2</v>
      </c>
      <c r="D19" s="6">
        <v>2.69E-2</v>
      </c>
      <c r="E19" s="6">
        <v>3.5299999999999998E-2</v>
      </c>
      <c r="F19" s="6">
        <v>4.0500000000000001E-2</v>
      </c>
      <c r="G19" s="6">
        <v>4.9700000000000001E-2</v>
      </c>
      <c r="H19" s="6">
        <v>6.9199999999999998E-2</v>
      </c>
      <c r="I19" s="6">
        <v>1.135751243771713E-2</v>
      </c>
      <c r="J19" s="6">
        <v>2.7395759697686022E-2</v>
      </c>
      <c r="K19" s="6">
        <v>3.616609118170025E-2</v>
      </c>
      <c r="L19" s="6">
        <v>4.1691274456534019E-2</v>
      </c>
      <c r="M19" s="6">
        <v>5.1422638371148348E-2</v>
      </c>
      <c r="N19" s="6">
        <v>7.1984894942731359E-2</v>
      </c>
    </row>
    <row r="20" spans="1:14">
      <c r="A20" s="8" t="s">
        <v>49</v>
      </c>
      <c r="B20" s="7" t="s">
        <v>50</v>
      </c>
      <c r="C20" s="6">
        <v>1.2200000000000001E-2</v>
      </c>
      <c r="D20" s="6">
        <v>2.6700000000000002E-2</v>
      </c>
      <c r="E20" s="6">
        <v>4.1300000000000003E-2</v>
      </c>
      <c r="F20" s="6">
        <v>5.2699999999999997E-2</v>
      </c>
      <c r="G20" s="6">
        <v>6.3200000000000006E-2</v>
      </c>
      <c r="H20" s="6">
        <v>7.6300000000000007E-2</v>
      </c>
      <c r="I20" s="6">
        <v>1.1789050994702437E-2</v>
      </c>
      <c r="J20" s="6">
        <v>2.5911714309003353E-2</v>
      </c>
      <c r="K20" s="6">
        <v>4.0320948182002249E-2</v>
      </c>
      <c r="L20" s="6">
        <v>5.1695719050287324E-2</v>
      </c>
      <c r="M20" s="6">
        <v>6.2311594156125465E-2</v>
      </c>
      <c r="N20" s="6">
        <v>7.563340206985053E-2</v>
      </c>
    </row>
    <row r="21" spans="1:14">
      <c r="A21" s="8" t="s">
        <v>51</v>
      </c>
      <c r="B21" s="7" t="s">
        <v>52</v>
      </c>
      <c r="C21" s="6">
        <v>4.8099999999999997E-2</v>
      </c>
      <c r="D21" s="6">
        <v>4.9200000000000001E-2</v>
      </c>
      <c r="E21" s="6">
        <v>3.7699999999999997E-2</v>
      </c>
      <c r="F21" s="6">
        <v>2.3599999999999999E-2</v>
      </c>
      <c r="G21" s="6">
        <v>8.3999999999999995E-3</v>
      </c>
      <c r="H21" s="6">
        <v>0</v>
      </c>
      <c r="I21" s="6">
        <v>4.6795119298675227E-2</v>
      </c>
      <c r="J21" s="6">
        <v>4.8071365076017392E-2</v>
      </c>
      <c r="K21" s="6">
        <v>3.7055996929786277E-2</v>
      </c>
      <c r="L21" s="6">
        <v>2.3307325157507729E-2</v>
      </c>
      <c r="M21" s="6">
        <v>8.338108398421664E-3</v>
      </c>
      <c r="N21" s="6">
        <v>0</v>
      </c>
    </row>
    <row r="22" spans="1:14">
      <c r="A22" s="8" t="s">
        <v>53</v>
      </c>
      <c r="B22" s="7" t="s">
        <v>54</v>
      </c>
      <c r="C22" s="6">
        <v>1.67E-2</v>
      </c>
      <c r="D22" s="6">
        <v>2.8000000000000001E-2</v>
      </c>
      <c r="E22" s="6">
        <v>2.5499999999999998E-2</v>
      </c>
      <c r="F22" s="6">
        <v>1.9800000000000002E-2</v>
      </c>
      <c r="G22" s="6">
        <v>1.38E-2</v>
      </c>
      <c r="H22" s="6">
        <v>5.3E-3</v>
      </c>
      <c r="I22" s="6">
        <v>1.7526615572934848E-2</v>
      </c>
      <c r="J22" s="6">
        <v>2.9512465398439082E-2</v>
      </c>
      <c r="K22" s="6">
        <v>2.7038552580950212E-2</v>
      </c>
      <c r="L22" s="6">
        <v>2.1094621133440534E-2</v>
      </c>
      <c r="M22" s="6">
        <v>1.4777244006048388E-2</v>
      </c>
      <c r="N22" s="6">
        <v>5.7059444822277769E-3</v>
      </c>
    </row>
    <row r="23" spans="1:14">
      <c r="A23" s="8" t="s">
        <v>55</v>
      </c>
      <c r="B23" s="7" t="s">
        <v>56</v>
      </c>
      <c r="C23" s="6">
        <v>5.0000000000000001E-3</v>
      </c>
      <c r="D23" s="6">
        <v>8.3999999999999995E-3</v>
      </c>
      <c r="E23" s="6">
        <v>1.3100000000000001E-2</v>
      </c>
      <c r="F23" s="6">
        <v>1.6799999999999999E-2</v>
      </c>
      <c r="G23" s="6">
        <v>2.0199999999999999E-2</v>
      </c>
      <c r="H23" s="6">
        <v>2.5000000000000001E-2</v>
      </c>
      <c r="I23" s="6">
        <v>5.0813201665111003E-3</v>
      </c>
      <c r="J23" s="6">
        <v>8.5733728533290976E-3</v>
      </c>
      <c r="K23" s="6">
        <v>1.3450533808958894E-2</v>
      </c>
      <c r="L23" s="6">
        <v>1.7331684992272039E-2</v>
      </c>
      <c r="M23" s="6">
        <v>2.0945498138171141E-2</v>
      </c>
      <c r="N23" s="6">
        <v>2.6062534466683593E-2</v>
      </c>
    </row>
    <row r="24" spans="1:14">
      <c r="A24" s="8" t="s">
        <v>57</v>
      </c>
      <c r="B24" s="7" t="s">
        <v>58</v>
      </c>
      <c r="C24" s="6">
        <v>6.7000000000000002E-3</v>
      </c>
      <c r="D24" s="6">
        <v>2.3599999999999999E-2</v>
      </c>
      <c r="E24" s="6">
        <v>5.3900000000000003E-2</v>
      </c>
      <c r="F24" s="6">
        <v>7.7600000000000002E-2</v>
      </c>
      <c r="G24" s="6">
        <v>0.1056</v>
      </c>
      <c r="H24" s="6">
        <v>0.14180000000000001</v>
      </c>
      <c r="I24" s="6">
        <v>6.5884022937316052E-3</v>
      </c>
      <c r="J24" s="6">
        <v>2.3306828457912862E-2</v>
      </c>
      <c r="K24" s="6">
        <v>5.3549539603560993E-2</v>
      </c>
      <c r="L24" s="6">
        <v>7.7462583602824583E-2</v>
      </c>
      <c r="M24" s="6">
        <v>0.10595025188643953</v>
      </c>
      <c r="N24" s="6">
        <v>0.14303806293823307</v>
      </c>
    </row>
    <row r="25" spans="1:14">
      <c r="A25" s="8" t="s">
        <v>59</v>
      </c>
      <c r="B25" s="7" t="s">
        <v>60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>
      <c r="A26" s="8" t="s">
        <v>61</v>
      </c>
      <c r="B26" s="7" t="s">
        <v>62</v>
      </c>
      <c r="C26" s="6">
        <v>1.5299999999999999E-2</v>
      </c>
      <c r="D26" s="6">
        <v>3.3799999999999997E-2</v>
      </c>
      <c r="E26" s="6">
        <v>5.0700000000000002E-2</v>
      </c>
      <c r="F26" s="6">
        <v>5.9200000000000003E-2</v>
      </c>
      <c r="G26" s="6">
        <v>6.5299999999999997E-2</v>
      </c>
      <c r="H26" s="6">
        <v>4.58E-2</v>
      </c>
      <c r="I26" s="6">
        <v>1.5619440317612919E-2</v>
      </c>
      <c r="J26" s="6">
        <v>3.4654258222609001E-2</v>
      </c>
      <c r="K26" s="6">
        <v>5.2293013004661812E-2</v>
      </c>
      <c r="L26" s="6">
        <v>6.1350865449445777E-2</v>
      </c>
      <c r="M26" s="6">
        <v>6.8017393734891823E-2</v>
      </c>
      <c r="N26" s="6">
        <v>4.7963359794999161E-2</v>
      </c>
    </row>
    <row r="27" spans="1:14">
      <c r="A27" s="8" t="s">
        <v>63</v>
      </c>
      <c r="B27" s="7" t="s">
        <v>64</v>
      </c>
      <c r="C27" s="6">
        <v>0</v>
      </c>
      <c r="D27" s="6">
        <v>5.0000000000000001E-3</v>
      </c>
      <c r="E27" s="6">
        <v>5.7999999999999996E-3</v>
      </c>
      <c r="F27" s="6">
        <v>1.0999999999999999E-2</v>
      </c>
      <c r="G27" s="6">
        <v>1.54E-2</v>
      </c>
      <c r="H27" s="6">
        <v>2.9100000000000001E-2</v>
      </c>
      <c r="I27" s="6">
        <v>0</v>
      </c>
      <c r="J27" s="6">
        <v>5.0882418104795804E-3</v>
      </c>
      <c r="K27" s="6">
        <v>5.9377448395169421E-3</v>
      </c>
      <c r="L27" s="6">
        <v>1.1314868291123692E-2</v>
      </c>
      <c r="M27" s="6">
        <v>1.5921550452696578E-2</v>
      </c>
      <c r="N27" s="6">
        <v>3.0247879866592109E-2</v>
      </c>
    </row>
    <row r="28" spans="1:14">
      <c r="A28" s="8" t="s">
        <v>65</v>
      </c>
      <c r="B28" s="7" t="s">
        <v>66</v>
      </c>
      <c r="C28" s="6">
        <v>1.23E-2</v>
      </c>
      <c r="D28" s="6">
        <v>3.5299999999999998E-2</v>
      </c>
      <c r="E28" s="6">
        <v>5.8999999999999997E-2</v>
      </c>
      <c r="F28" s="6">
        <v>7.2300000000000003E-2</v>
      </c>
      <c r="G28" s="6">
        <v>8.6099999999999996E-2</v>
      </c>
      <c r="H28" s="6">
        <v>0.09</v>
      </c>
      <c r="I28" s="6">
        <v>1.261452734602856E-2</v>
      </c>
      <c r="J28" s="6">
        <v>3.6358540895868895E-2</v>
      </c>
      <c r="K28" s="6">
        <v>6.1133540998002972E-2</v>
      </c>
      <c r="L28" s="6">
        <v>7.5271248228248794E-2</v>
      </c>
      <c r="M28" s="6">
        <v>9.0095228465307306E-2</v>
      </c>
      <c r="N28" s="6">
        <v>9.4684406845126134E-2</v>
      </c>
    </row>
    <row r="29" spans="1:14">
      <c r="A29" s="8" t="s">
        <v>67</v>
      </c>
      <c r="B29" s="7" t="s">
        <v>68</v>
      </c>
      <c r="C29" s="6">
        <v>1.09E-2</v>
      </c>
      <c r="D29" s="6">
        <v>1.6299999999999999E-2</v>
      </c>
      <c r="E29" s="6">
        <v>1.9300000000000001E-2</v>
      </c>
      <c r="F29" s="6">
        <v>2.1499999999999998E-2</v>
      </c>
      <c r="G29" s="6">
        <v>2.2800000000000001E-2</v>
      </c>
      <c r="H29" s="6">
        <v>2.2800000000000001E-2</v>
      </c>
      <c r="I29" s="6">
        <v>1.0916667277450847E-2</v>
      </c>
      <c r="J29" s="6">
        <v>1.6395212504105021E-2</v>
      </c>
      <c r="K29" s="6">
        <v>1.9529114606224678E-2</v>
      </c>
      <c r="L29" s="6">
        <v>2.1858833673401822E-2</v>
      </c>
      <c r="M29" s="6">
        <v>2.3298673281904055E-2</v>
      </c>
      <c r="N29" s="6">
        <v>2.3424401602531689E-2</v>
      </c>
    </row>
    <row r="30" spans="1:14">
      <c r="A30" s="8" t="s">
        <v>69</v>
      </c>
      <c r="B30" s="7" t="s">
        <v>70</v>
      </c>
      <c r="C30" s="6">
        <v>5.0000000000000001E-3</v>
      </c>
      <c r="D30" s="6">
        <v>1.54E-2</v>
      </c>
      <c r="E30" s="6">
        <v>2.6499999999999999E-2</v>
      </c>
      <c r="F30" s="6">
        <v>3.1399999999999997E-2</v>
      </c>
      <c r="G30" s="6">
        <v>3.4599999999999999E-2</v>
      </c>
      <c r="H30" s="6">
        <v>3.2599999999999997E-2</v>
      </c>
      <c r="I30" s="6">
        <v>4.9436576443146621E-3</v>
      </c>
      <c r="J30" s="6">
        <v>1.5292024100213191E-2</v>
      </c>
      <c r="K30" s="6">
        <v>2.6471949537956327E-2</v>
      </c>
      <c r="L30" s="6">
        <v>3.1516137090004184E-2</v>
      </c>
      <c r="M30" s="6">
        <v>3.490496849602992E-2</v>
      </c>
      <c r="N30" s="6">
        <v>3.3064812599027917E-2</v>
      </c>
    </row>
    <row r="31" spans="1:14">
      <c r="A31" s="8" t="s">
        <v>71</v>
      </c>
      <c r="B31" s="7" t="s">
        <v>72</v>
      </c>
      <c r="C31" s="6">
        <v>0</v>
      </c>
      <c r="D31" s="6">
        <v>5.0000000000000001E-3</v>
      </c>
      <c r="E31" s="6">
        <v>1.15E-2</v>
      </c>
      <c r="F31" s="6">
        <v>1.6400000000000001E-2</v>
      </c>
      <c r="G31" s="6">
        <v>1.95E-2</v>
      </c>
      <c r="H31" s="6">
        <v>2.06E-2</v>
      </c>
      <c r="I31" s="6">
        <v>0</v>
      </c>
      <c r="J31" s="6">
        <v>4.8244350993851375E-3</v>
      </c>
      <c r="K31" s="6">
        <v>1.116272186571113E-2</v>
      </c>
      <c r="L31" s="6">
        <v>1.5994821288590755E-2</v>
      </c>
      <c r="M31" s="6">
        <v>1.9115161607622867E-2</v>
      </c>
      <c r="N31" s="6">
        <v>2.0302424169199043E-2</v>
      </c>
    </row>
  </sheetData>
  <mergeCells count="1">
    <mergeCell ref="A1:B1"/>
  </mergeCells>
  <dataValidations count="1">
    <dataValidation allowBlank="1" sqref="B3:B31" xr:uid="{00727F4A-885B-48E0-9980-737634EF99F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EF23-2250-4E06-97CD-FF4F7258A547}">
  <dimension ref="A1:H30"/>
  <sheetViews>
    <sheetView workbookViewId="0">
      <selection sqref="A1:B1"/>
    </sheetView>
  </sheetViews>
  <sheetFormatPr defaultRowHeight="15"/>
  <cols>
    <col min="1" max="1" width="42.7109375" bestFit="1" customWidth="1"/>
  </cols>
  <sheetData>
    <row r="1" spans="1:8">
      <c r="A1" s="18" t="s">
        <v>73</v>
      </c>
      <c r="B1" s="19"/>
      <c r="C1" s="1" t="s">
        <v>2</v>
      </c>
      <c r="D1" s="2" t="s">
        <v>3</v>
      </c>
      <c r="E1" s="2" t="s">
        <v>4</v>
      </c>
      <c r="F1" s="2" t="s">
        <v>8</v>
      </c>
      <c r="G1" s="2" t="s">
        <v>9</v>
      </c>
      <c r="H1" s="2" t="s">
        <v>10</v>
      </c>
    </row>
    <row r="2" spans="1:8">
      <c r="A2" s="14" t="s">
        <v>13</v>
      </c>
      <c r="B2" s="14" t="s">
        <v>14</v>
      </c>
      <c r="C2" s="15">
        <v>45791</v>
      </c>
      <c r="D2" s="3">
        <v>45791</v>
      </c>
      <c r="E2" s="3">
        <v>45791</v>
      </c>
      <c r="F2" s="3">
        <v>46108</v>
      </c>
      <c r="G2" s="3">
        <v>46108</v>
      </c>
      <c r="H2" s="3">
        <v>46108</v>
      </c>
    </row>
    <row r="3" spans="1:8">
      <c r="A3" s="16" t="s">
        <v>15</v>
      </c>
      <c r="B3" s="7" t="s">
        <v>16</v>
      </c>
      <c r="C3" s="4">
        <v>0.02</v>
      </c>
      <c r="D3" s="5">
        <v>0.02</v>
      </c>
      <c r="E3" s="4">
        <v>0.02</v>
      </c>
      <c r="F3" s="4">
        <v>1.8983165681430329E-2</v>
      </c>
      <c r="G3" s="4">
        <v>1.8560127770938233E-2</v>
      </c>
      <c r="H3" s="4">
        <v>1.825542456421515E-2</v>
      </c>
    </row>
    <row r="4" spans="1:8">
      <c r="A4" s="8" t="s">
        <v>17</v>
      </c>
      <c r="B4" s="7" t="s">
        <v>18</v>
      </c>
      <c r="C4" s="4">
        <v>0.1221</v>
      </c>
      <c r="D4" s="4">
        <v>4.7800000000000002E-2</v>
      </c>
      <c r="E4" s="4">
        <v>1.35E-2</v>
      </c>
      <c r="F4" s="4">
        <v>0.11598599483209561</v>
      </c>
      <c r="G4" s="4">
        <v>4.4394595980587225E-2</v>
      </c>
      <c r="H4" s="4">
        <v>1.2332381638368346E-2</v>
      </c>
    </row>
    <row r="5" spans="1:8">
      <c r="A5" s="9" t="s">
        <v>19</v>
      </c>
      <c r="B5" s="7" t="s">
        <v>20</v>
      </c>
      <c r="C5" s="4">
        <v>4.5600000000000002E-2</v>
      </c>
      <c r="D5" s="4">
        <v>6.8000000000000005E-3</v>
      </c>
      <c r="E5" s="4">
        <v>0</v>
      </c>
      <c r="F5" s="4">
        <v>4.325414814243262E-2</v>
      </c>
      <c r="G5" s="4">
        <v>6.3064383832272261E-3</v>
      </c>
      <c r="H5" s="4">
        <v>0</v>
      </c>
    </row>
    <row r="6" spans="1:8">
      <c r="A6" s="8" t="s">
        <v>21</v>
      </c>
      <c r="B6" s="7" t="s">
        <v>22</v>
      </c>
      <c r="C6" s="4">
        <v>4.5400000000000003E-2</v>
      </c>
      <c r="D6" s="4">
        <v>1.8600000000000002E-2</v>
      </c>
      <c r="E6" s="4">
        <v>1.11E-2</v>
      </c>
      <c r="F6" s="4">
        <v>4.3375452297940341E-2</v>
      </c>
      <c r="G6" s="4">
        <v>1.7374544640950802E-2</v>
      </c>
      <c r="H6" s="4">
        <v>1.0198456361247128E-2</v>
      </c>
    </row>
    <row r="7" spans="1:8">
      <c r="A7" s="8" t="s">
        <v>23</v>
      </c>
      <c r="B7" s="7" t="s">
        <v>24</v>
      </c>
      <c r="C7" s="4">
        <v>7.2099999999999997E-2</v>
      </c>
      <c r="D7" s="4">
        <v>5.79E-2</v>
      </c>
      <c r="E7" s="4">
        <v>3.3000000000000002E-2</v>
      </c>
      <c r="F7" s="4">
        <v>6.9127704401631435E-2</v>
      </c>
      <c r="G7" s="4">
        <v>5.4275990464906179E-2</v>
      </c>
      <c r="H7" s="4">
        <v>3.0426647964041868E-2</v>
      </c>
    </row>
    <row r="8" spans="1:8">
      <c r="A8" s="8" t="s">
        <v>25</v>
      </c>
      <c r="B8" s="7" t="s">
        <v>26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>
      <c r="A9" s="8" t="s">
        <v>27</v>
      </c>
      <c r="B9" s="7" t="s">
        <v>28</v>
      </c>
      <c r="C9" s="4">
        <v>2.24E-2</v>
      </c>
      <c r="D9" s="4">
        <v>1.4100000000000001E-2</v>
      </c>
      <c r="E9" s="4">
        <v>6.6E-3</v>
      </c>
      <c r="F9" s="4">
        <v>2.1620255335936669E-2</v>
      </c>
      <c r="G9" s="4">
        <v>1.330589942574463E-2</v>
      </c>
      <c r="H9" s="4">
        <v>6.1260429230602115E-3</v>
      </c>
    </row>
    <row r="10" spans="1:8">
      <c r="A10" s="8" t="s">
        <v>29</v>
      </c>
      <c r="B10" s="7" t="s">
        <v>30</v>
      </c>
      <c r="C10" s="4">
        <v>1.4800000000000001E-2</v>
      </c>
      <c r="D10" s="4">
        <v>1.9800000000000002E-2</v>
      </c>
      <c r="E10" s="4">
        <v>1.2800000000000001E-2</v>
      </c>
      <c r="F10" s="4">
        <v>1.4372876870742599E-2</v>
      </c>
      <c r="G10" s="4">
        <v>1.8800071605785132E-2</v>
      </c>
      <c r="H10" s="4">
        <v>1.1954055253709262E-2</v>
      </c>
    </row>
    <row r="11" spans="1:8">
      <c r="A11" s="8" t="s">
        <v>31</v>
      </c>
      <c r="B11" s="7" t="s">
        <v>32</v>
      </c>
      <c r="C11" s="6">
        <v>1.6E-2</v>
      </c>
      <c r="D11" s="6">
        <v>7.1000000000000004E-3</v>
      </c>
      <c r="E11" s="6">
        <v>0</v>
      </c>
      <c r="F11" s="6">
        <v>1.5614065984637058E-2</v>
      </c>
      <c r="G11" s="6">
        <v>6.7743354769908629E-3</v>
      </c>
      <c r="H11" s="6">
        <v>0</v>
      </c>
    </row>
    <row r="12" spans="1:8">
      <c r="A12" s="8" t="s">
        <v>33</v>
      </c>
      <c r="B12" s="7" t="s">
        <v>34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>
      <c r="A13" s="8" t="s">
        <v>37</v>
      </c>
      <c r="B13" s="7" t="s">
        <v>38</v>
      </c>
      <c r="C13" s="6">
        <v>0.1132</v>
      </c>
      <c r="D13" s="6">
        <v>9.5000000000000001E-2</v>
      </c>
      <c r="E13" s="6">
        <v>7.2700000000000001E-2</v>
      </c>
      <c r="F13" s="6">
        <v>0.1090751451828411</v>
      </c>
      <c r="G13" s="6">
        <v>8.9498406241677708E-2</v>
      </c>
      <c r="H13" s="6">
        <v>6.7365429534843313E-2</v>
      </c>
    </row>
    <row r="14" spans="1:8">
      <c r="A14" s="8" t="s">
        <v>39</v>
      </c>
      <c r="B14" s="7" t="s">
        <v>40</v>
      </c>
      <c r="C14" s="6">
        <v>4.07E-2</v>
      </c>
      <c r="D14" s="6">
        <v>3.5799999999999998E-2</v>
      </c>
      <c r="E14" s="6">
        <v>3.09E-2</v>
      </c>
      <c r="F14" s="6">
        <v>3.8650428267111299E-2</v>
      </c>
      <c r="G14" s="6">
        <v>3.3239558857677126E-2</v>
      </c>
      <c r="H14" s="6">
        <v>2.8219003943444631E-2</v>
      </c>
    </row>
    <row r="15" spans="1:8">
      <c r="A15" s="8" t="s">
        <v>41</v>
      </c>
      <c r="B15" s="7" t="s">
        <v>74</v>
      </c>
      <c r="C15" s="6">
        <v>2.2700000000000001E-2</v>
      </c>
      <c r="D15" s="6">
        <v>2.5900000000000003E-2</v>
      </c>
      <c r="E15" s="6">
        <v>1.89E-2</v>
      </c>
      <c r="F15" s="6">
        <v>2.2434333854482676E-2</v>
      </c>
      <c r="G15" s="6">
        <v>2.5026459191446214E-2</v>
      </c>
      <c r="H15" s="6">
        <v>1.7962733433514157E-2</v>
      </c>
    </row>
    <row r="16" spans="1:8">
      <c r="A16" s="8" t="s">
        <v>75</v>
      </c>
      <c r="B16" s="7" t="s">
        <v>76</v>
      </c>
      <c r="C16" s="6">
        <v>5.2999999999999999E-2</v>
      </c>
      <c r="D16" s="6">
        <v>8.6400000000000005E-2</v>
      </c>
      <c r="E16" s="6">
        <v>0.10880000000000001</v>
      </c>
      <c r="F16" s="6">
        <v>5.6943009327463774E-2</v>
      </c>
      <c r="G16" s="6">
        <v>9.0759190019656905E-2</v>
      </c>
      <c r="H16" s="6">
        <v>0.11241305234429755</v>
      </c>
    </row>
    <row r="17" spans="1:8">
      <c r="A17" s="8" t="s">
        <v>77</v>
      </c>
      <c r="B17" s="7" t="s">
        <v>78</v>
      </c>
      <c r="C17" s="6">
        <v>6.8599999999999994E-2</v>
      </c>
      <c r="D17" s="6">
        <v>0.1027</v>
      </c>
      <c r="E17" s="6">
        <v>0.12920000000000001</v>
      </c>
      <c r="F17" s="6">
        <v>7.4124118246230011E-2</v>
      </c>
      <c r="G17" s="6">
        <v>0.10849711533378695</v>
      </c>
      <c r="H17" s="6">
        <v>0.1342521463497984</v>
      </c>
    </row>
    <row r="18" spans="1:8">
      <c r="A18" s="8" t="s">
        <v>79</v>
      </c>
      <c r="B18" s="7" t="s">
        <v>80</v>
      </c>
      <c r="C18" s="6">
        <v>4.9599999999999998E-2</v>
      </c>
      <c r="D18" s="6">
        <v>8.3500000000000005E-2</v>
      </c>
      <c r="E18" s="6">
        <v>0.1114</v>
      </c>
      <c r="F18" s="6">
        <v>5.3316154593111904E-2</v>
      </c>
      <c r="G18" s="6">
        <v>8.7755822490811125E-2</v>
      </c>
      <c r="H18" s="6">
        <v>0.11515575112606548</v>
      </c>
    </row>
    <row r="19" spans="1:8">
      <c r="A19" s="8" t="s">
        <v>81</v>
      </c>
      <c r="B19" s="7" t="s">
        <v>82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</row>
    <row r="20" spans="1:8">
      <c r="A20" s="8" t="s">
        <v>83</v>
      </c>
      <c r="B20" s="7" t="s">
        <v>84</v>
      </c>
      <c r="C20" s="6">
        <v>1.61E-2</v>
      </c>
      <c r="D20" s="6">
        <v>2.18E-2</v>
      </c>
      <c r="E20" s="6">
        <v>2.6500000000000003E-2</v>
      </c>
      <c r="F20" s="6">
        <v>1.7012233830889744E-2</v>
      </c>
      <c r="G20" s="6">
        <v>2.2521861552560578E-2</v>
      </c>
      <c r="H20" s="6">
        <v>2.6928033619875915E-2</v>
      </c>
    </row>
    <row r="21" spans="1:8">
      <c r="A21" s="8" t="s">
        <v>85</v>
      </c>
      <c r="B21" s="7" t="s">
        <v>86</v>
      </c>
      <c r="C21" s="6">
        <v>3.8600000000000002E-2</v>
      </c>
      <c r="D21" s="6">
        <v>5.6900000000000006E-2</v>
      </c>
      <c r="E21" s="6">
        <v>7.1099999999999997E-2</v>
      </c>
      <c r="F21" s="6">
        <v>3.5409441323222685E-2</v>
      </c>
      <c r="G21" s="6">
        <v>5.1033618160448171E-2</v>
      </c>
      <c r="H21" s="6">
        <v>6.2722689210624114E-2</v>
      </c>
    </row>
    <row r="22" spans="1:8">
      <c r="A22" s="8" t="s">
        <v>87</v>
      </c>
      <c r="B22" s="7" t="s">
        <v>88</v>
      </c>
      <c r="C22" s="6">
        <v>3.0599999999999999E-2</v>
      </c>
      <c r="D22" s="6">
        <v>5.1900000000000002E-2</v>
      </c>
      <c r="E22" s="6">
        <v>7.1500000000000008E-2</v>
      </c>
      <c r="F22" s="6">
        <v>3.727205449843831E-2</v>
      </c>
      <c r="G22" s="6">
        <v>6.1807558313846954E-2</v>
      </c>
      <c r="H22" s="6">
        <v>8.3751240290968351E-2</v>
      </c>
    </row>
    <row r="23" spans="1:8">
      <c r="A23" s="8" t="s">
        <v>89</v>
      </c>
      <c r="B23" s="7" t="s">
        <v>90</v>
      </c>
      <c r="C23" s="6">
        <v>3.3799999999999997E-2</v>
      </c>
      <c r="D23" s="6">
        <v>5.3500000000000006E-2</v>
      </c>
      <c r="E23" s="6">
        <v>7.1300000000000002E-2</v>
      </c>
      <c r="F23" s="6">
        <v>3.8445785121322767E-2</v>
      </c>
      <c r="G23" s="6">
        <v>5.9497420788171301E-2</v>
      </c>
      <c r="H23" s="6">
        <v>7.7991067253925281E-2</v>
      </c>
    </row>
    <row r="24" spans="1:8">
      <c r="A24" s="8" t="s">
        <v>91</v>
      </c>
      <c r="B24" s="7" t="s">
        <v>92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</row>
    <row r="25" spans="1:8">
      <c r="A25" s="8" t="s">
        <v>93</v>
      </c>
      <c r="B25" s="7" t="s">
        <v>94</v>
      </c>
      <c r="C25" s="6">
        <v>6.2E-2</v>
      </c>
      <c r="D25" s="6">
        <v>7.1099999999999997E-2</v>
      </c>
      <c r="E25" s="6">
        <v>7.4800000000000005E-2</v>
      </c>
      <c r="F25" s="6">
        <v>6.5331117532835978E-2</v>
      </c>
      <c r="G25" s="6">
        <v>7.3250454182912692E-2</v>
      </c>
      <c r="H25" s="6">
        <v>7.5797223084792309E-2</v>
      </c>
    </row>
    <row r="26" spans="1:8">
      <c r="A26" s="8" t="s">
        <v>69</v>
      </c>
      <c r="B26" s="7" t="s">
        <v>70</v>
      </c>
      <c r="C26" s="6">
        <v>2.12E-2</v>
      </c>
      <c r="D26" s="6">
        <v>3.2000000000000001E-2</v>
      </c>
      <c r="E26" s="6">
        <v>3.7900000000000003E-2</v>
      </c>
      <c r="F26" s="6">
        <v>2.0084556551088661E-2</v>
      </c>
      <c r="G26" s="6">
        <v>2.9640715860276799E-2</v>
      </c>
      <c r="H26" s="6">
        <v>3.4529389189303851E-2</v>
      </c>
    </row>
    <row r="27" spans="1:8">
      <c r="A27" s="8" t="s">
        <v>95</v>
      </c>
      <c r="B27" s="7" t="s">
        <v>72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</row>
    <row r="28" spans="1:8">
      <c r="A28" s="8" t="s">
        <v>96</v>
      </c>
      <c r="B28" s="7" t="s">
        <v>97</v>
      </c>
      <c r="C28" s="6">
        <v>0.05</v>
      </c>
      <c r="D28" s="6">
        <v>5.3000000000000005E-2</v>
      </c>
      <c r="E28" s="6">
        <v>4.9000000000000002E-2</v>
      </c>
      <c r="F28" s="6">
        <v>4.715036908649857E-2</v>
      </c>
      <c r="G28" s="6">
        <v>4.8865605597135285E-2</v>
      </c>
      <c r="H28" s="6">
        <v>4.4435950255545004E-2</v>
      </c>
    </row>
    <row r="29" spans="1:8">
      <c r="A29" s="8" t="s">
        <v>98</v>
      </c>
      <c r="B29" s="7" t="s">
        <v>99</v>
      </c>
      <c r="C29" s="6">
        <v>1.52E-2</v>
      </c>
      <c r="D29" s="6">
        <v>2.0300000000000002E-2</v>
      </c>
      <c r="E29" s="6">
        <v>2.0400000000000001E-2</v>
      </c>
      <c r="F29" s="6">
        <v>1.6231028974039798E-2</v>
      </c>
      <c r="G29" s="6">
        <v>2.1193897344118629E-2</v>
      </c>
      <c r="H29" s="6">
        <v>2.0948644751868972E-2</v>
      </c>
    </row>
    <row r="30" spans="1:8">
      <c r="A30" s="8" t="s">
        <v>100</v>
      </c>
      <c r="B30" s="7" t="s">
        <v>101</v>
      </c>
      <c r="C30" s="6">
        <v>2.63E-2</v>
      </c>
      <c r="D30" s="6">
        <v>1.8100000000000002E-2</v>
      </c>
      <c r="E30" s="6">
        <v>8.6E-3</v>
      </c>
      <c r="F30" s="6">
        <v>2.6186560063576125E-2</v>
      </c>
      <c r="G30" s="6">
        <v>1.7620312316343319E-2</v>
      </c>
      <c r="H30" s="6">
        <v>8.2346369064906725E-3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1358-DFD9-42C2-8E66-39EC07EC0F3F}">
  <dimension ref="A1:N37"/>
  <sheetViews>
    <sheetView workbookViewId="0">
      <selection sqref="A1:B1"/>
    </sheetView>
  </sheetViews>
  <sheetFormatPr defaultRowHeight="15"/>
  <cols>
    <col min="1" max="1" width="47.85546875" bestFit="1" customWidth="1"/>
  </cols>
  <sheetData>
    <row r="1" spans="1:14">
      <c r="A1" s="18" t="s">
        <v>102</v>
      </c>
      <c r="B1" s="19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4" t="s">
        <v>13</v>
      </c>
      <c r="B2" s="14" t="s">
        <v>14</v>
      </c>
      <c r="C2" s="15">
        <v>46097</v>
      </c>
      <c r="D2" s="3">
        <v>46097</v>
      </c>
      <c r="E2" s="3">
        <v>46097</v>
      </c>
      <c r="F2" s="3">
        <v>46097</v>
      </c>
      <c r="G2" s="3">
        <v>46097</v>
      </c>
      <c r="H2" s="3">
        <v>46097</v>
      </c>
      <c r="I2" s="3">
        <v>46108</v>
      </c>
      <c r="J2" s="3">
        <v>46108</v>
      </c>
      <c r="K2" s="3">
        <v>46108</v>
      </c>
      <c r="L2" s="3">
        <v>46108</v>
      </c>
      <c r="M2" s="3">
        <v>46108</v>
      </c>
      <c r="N2" s="3">
        <v>46108</v>
      </c>
    </row>
    <row r="3" spans="1:14">
      <c r="A3" s="16" t="s">
        <v>15</v>
      </c>
      <c r="B3" s="7" t="s">
        <v>16</v>
      </c>
      <c r="C3" s="4">
        <v>0.02</v>
      </c>
      <c r="D3" s="5">
        <v>0.02</v>
      </c>
      <c r="E3" s="4">
        <v>0.02</v>
      </c>
      <c r="F3" s="4">
        <v>0.02</v>
      </c>
      <c r="G3" s="4">
        <v>0.02</v>
      </c>
      <c r="H3" s="4">
        <v>0.02</v>
      </c>
      <c r="I3" s="4">
        <v>2.0362478040839047E-2</v>
      </c>
      <c r="J3" s="4">
        <v>2.0533547759676887E-2</v>
      </c>
      <c r="K3" s="4">
        <v>2.0681259523767447E-2</v>
      </c>
      <c r="L3" s="4">
        <v>2.0780426853708244E-2</v>
      </c>
      <c r="M3" s="4">
        <v>2.0876546935042647E-2</v>
      </c>
      <c r="N3" s="4">
        <v>2.0932480906958761E-2</v>
      </c>
    </row>
    <row r="4" spans="1:14">
      <c r="A4" s="8" t="s">
        <v>17</v>
      </c>
      <c r="B4" s="7" t="s">
        <v>18</v>
      </c>
      <c r="C4" s="4">
        <v>0.108</v>
      </c>
      <c r="D4" s="4">
        <v>3.6700000000000003E-2</v>
      </c>
      <c r="E4" s="4">
        <v>9.7000000000000003E-3</v>
      </c>
      <c r="F4" s="4">
        <v>5.0000000000000001E-3</v>
      </c>
      <c r="G4" s="4">
        <v>0</v>
      </c>
      <c r="H4" s="4">
        <v>0</v>
      </c>
      <c r="I4" s="4">
        <v>0.10994367035248744</v>
      </c>
      <c r="J4" s="4">
        <v>3.7674361771778776E-2</v>
      </c>
      <c r="K4" s="4">
        <v>1.0029160133113425E-2</v>
      </c>
      <c r="L4" s="4">
        <v>5.194458912790848E-3</v>
      </c>
      <c r="M4" s="4">
        <v>0</v>
      </c>
      <c r="N4" s="4">
        <v>0</v>
      </c>
    </row>
    <row r="5" spans="1:14">
      <c r="A5" s="9" t="s">
        <v>19</v>
      </c>
      <c r="B5" s="7" t="s">
        <v>20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>
      <c r="A6" s="8" t="s">
        <v>21</v>
      </c>
      <c r="B6" s="7" t="s">
        <v>22</v>
      </c>
      <c r="C6" s="4">
        <v>7.4200000000000002E-2</v>
      </c>
      <c r="D6" s="4">
        <v>2.9600000000000001E-2</v>
      </c>
      <c r="E6" s="4">
        <v>1.0800000000000001E-2</v>
      </c>
      <c r="F6" s="4">
        <v>0</v>
      </c>
      <c r="G6" s="4">
        <v>0</v>
      </c>
      <c r="H6" s="4">
        <v>0</v>
      </c>
      <c r="I6" s="4">
        <v>7.4633203768440362E-2</v>
      </c>
      <c r="J6" s="4">
        <v>3.0022942494754491E-2</v>
      </c>
      <c r="K6" s="4">
        <v>1.1033118702137893E-2</v>
      </c>
      <c r="L6" s="4">
        <v>0</v>
      </c>
      <c r="M6" s="4">
        <v>0</v>
      </c>
      <c r="N6" s="4">
        <v>0</v>
      </c>
    </row>
    <row r="7" spans="1:14">
      <c r="A7" s="8" t="s">
        <v>23</v>
      </c>
      <c r="B7" s="7" t="s">
        <v>24</v>
      </c>
      <c r="C7" s="4">
        <v>1.1599999999999999E-2</v>
      </c>
      <c r="D7" s="4">
        <v>3.32E-2</v>
      </c>
      <c r="E7" s="4">
        <v>2.92E-2</v>
      </c>
      <c r="F7" s="4">
        <v>2.06E-2</v>
      </c>
      <c r="G7" s="4">
        <v>5.4000000000000003E-3</v>
      </c>
      <c r="H7" s="4">
        <v>0</v>
      </c>
      <c r="I7" s="4">
        <v>1.158518469044635E-2</v>
      </c>
      <c r="J7" s="4">
        <v>3.3436161933551388E-2</v>
      </c>
      <c r="K7" s="4">
        <v>2.9619258323274014E-2</v>
      </c>
      <c r="L7" s="4">
        <v>2.0995974086003399E-2</v>
      </c>
      <c r="M7" s="4">
        <v>5.5292569121300266E-3</v>
      </c>
      <c r="N7" s="4">
        <v>0</v>
      </c>
    </row>
    <row r="8" spans="1:14">
      <c r="A8" s="8" t="s">
        <v>25</v>
      </c>
      <c r="B8" s="7" t="s">
        <v>26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>
      <c r="A9" s="8" t="s">
        <v>27</v>
      </c>
      <c r="B9" s="7" t="s">
        <v>28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8" t="s">
        <v>29</v>
      </c>
      <c r="B10" s="7" t="s">
        <v>30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s="8" t="s">
        <v>31</v>
      </c>
      <c r="B11" s="7" t="s">
        <v>32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>
      <c r="A12" s="8" t="s">
        <v>33</v>
      </c>
      <c r="B12" s="7" t="s">
        <v>34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>
      <c r="A13" s="8" t="s">
        <v>35</v>
      </c>
      <c r="B13" s="7" t="s">
        <v>36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>
      <c r="A14" s="8" t="s">
        <v>37</v>
      </c>
      <c r="B14" s="7" t="s">
        <v>38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>
      <c r="A15" s="8" t="s">
        <v>39</v>
      </c>
      <c r="B15" s="7" t="s">
        <v>40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>
      <c r="A16" s="8" t="s">
        <v>41</v>
      </c>
      <c r="B16" s="7" t="s">
        <v>74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>
      <c r="A17" s="8" t="s">
        <v>103</v>
      </c>
      <c r="B17" s="7" t="s">
        <v>104</v>
      </c>
      <c r="C17" s="6">
        <v>9.69E-2</v>
      </c>
      <c r="D17" s="6">
        <v>9.2600000000000002E-2</v>
      </c>
      <c r="E17" s="6">
        <v>4.6300000000000001E-2</v>
      </c>
      <c r="F17" s="6">
        <v>1.6799999999999999E-2</v>
      </c>
      <c r="G17" s="6">
        <v>6.3E-3</v>
      </c>
      <c r="H17" s="6">
        <v>0</v>
      </c>
      <c r="I17" s="6">
        <v>9.7148401885851082E-2</v>
      </c>
      <c r="J17" s="6">
        <v>9.3617326414682983E-2</v>
      </c>
      <c r="K17" s="6">
        <v>4.7145389733999253E-2</v>
      </c>
      <c r="L17" s="6">
        <v>1.7188777926393572E-2</v>
      </c>
      <c r="M17" s="6">
        <v>6.4756067992958249E-3</v>
      </c>
      <c r="N17" s="6">
        <v>0</v>
      </c>
    </row>
    <row r="18" spans="1:14">
      <c r="A18" s="8" t="s">
        <v>105</v>
      </c>
      <c r="B18" s="7" t="s">
        <v>106</v>
      </c>
      <c r="C18" s="6">
        <v>0.1208</v>
      </c>
      <c r="D18" s="6">
        <v>0.1047</v>
      </c>
      <c r="E18" s="6">
        <v>5.8000000000000003E-2</v>
      </c>
      <c r="F18" s="6">
        <v>2.3300000000000001E-2</v>
      </c>
      <c r="G18" s="6">
        <v>8.0999999999999996E-3</v>
      </c>
      <c r="H18" s="6">
        <v>0</v>
      </c>
      <c r="I18" s="6">
        <v>0.12083797236152859</v>
      </c>
      <c r="J18" s="6">
        <v>0.10561279602026059</v>
      </c>
      <c r="K18" s="6">
        <v>5.892652681043483E-2</v>
      </c>
      <c r="L18" s="6">
        <v>2.3785717212823916E-2</v>
      </c>
      <c r="M18" s="6">
        <v>8.3071021544333344E-3</v>
      </c>
      <c r="N18" s="6">
        <v>0</v>
      </c>
    </row>
    <row r="19" spans="1:14">
      <c r="A19" s="8" t="s">
        <v>107</v>
      </c>
      <c r="B19" s="7" t="s">
        <v>108</v>
      </c>
      <c r="C19" s="6">
        <v>0.10829999999999999</v>
      </c>
      <c r="D19" s="6">
        <v>4.8300000000000003E-2</v>
      </c>
      <c r="E19" s="6">
        <v>2.0899999999999998E-2</v>
      </c>
      <c r="F19" s="6">
        <v>9.1999999999999998E-3</v>
      </c>
      <c r="G19" s="6">
        <v>0</v>
      </c>
      <c r="H19" s="6">
        <v>0</v>
      </c>
      <c r="I19" s="6">
        <v>0.10936324060208481</v>
      </c>
      <c r="J19" s="6">
        <v>4.9183950463884692E-2</v>
      </c>
      <c r="K19" s="6">
        <v>2.1435595622422445E-2</v>
      </c>
      <c r="L19" s="6">
        <v>9.4810093864169005E-3</v>
      </c>
      <c r="M19" s="6">
        <v>0</v>
      </c>
      <c r="N19" s="6">
        <v>0</v>
      </c>
    </row>
    <row r="20" spans="1:14">
      <c r="A20" s="8" t="s">
        <v>109</v>
      </c>
      <c r="B20" s="7" t="s">
        <v>110</v>
      </c>
      <c r="C20" s="6">
        <v>0.1051</v>
      </c>
      <c r="D20" s="6">
        <v>6.6900000000000001E-2</v>
      </c>
      <c r="E20" s="6">
        <v>3.7400000000000003E-2</v>
      </c>
      <c r="F20" s="6">
        <v>2.1700000000000001E-2</v>
      </c>
      <c r="G20" s="6">
        <v>6.4999999999999997E-3</v>
      </c>
      <c r="H20" s="6">
        <v>0</v>
      </c>
      <c r="I20" s="6">
        <v>0.10629614581874734</v>
      </c>
      <c r="J20" s="6">
        <v>6.8229829061707228E-2</v>
      </c>
      <c r="K20" s="6">
        <v>3.8417823721454712E-2</v>
      </c>
      <c r="L20" s="6">
        <v>2.2397439432506147E-2</v>
      </c>
      <c r="M20" s="6">
        <v>6.7399425643143943E-3</v>
      </c>
      <c r="N20" s="6">
        <v>0</v>
      </c>
    </row>
    <row r="21" spans="1:14">
      <c r="A21" s="8" t="s">
        <v>111</v>
      </c>
      <c r="B21" s="7" t="s">
        <v>112</v>
      </c>
      <c r="C21" s="6">
        <v>0.1095</v>
      </c>
      <c r="D21" s="6">
        <v>9.98E-2</v>
      </c>
      <c r="E21" s="6">
        <v>9.3399999999999997E-2</v>
      </c>
      <c r="F21" s="6">
        <v>6.6400000000000001E-2</v>
      </c>
      <c r="G21" s="6">
        <v>1.6799999999999999E-2</v>
      </c>
      <c r="H21" s="6">
        <v>0</v>
      </c>
      <c r="I21" s="6">
        <v>0.10930914739119091</v>
      </c>
      <c r="J21" s="6">
        <v>0.10046303466525162</v>
      </c>
      <c r="K21" s="6">
        <v>9.4696868873923132E-2</v>
      </c>
      <c r="L21" s="6">
        <v>6.7644782118421926E-2</v>
      </c>
      <c r="M21" s="6">
        <v>1.7194110229506648E-2</v>
      </c>
      <c r="N21" s="6">
        <v>0</v>
      </c>
    </row>
    <row r="22" spans="1:14">
      <c r="A22" s="8" t="s">
        <v>113</v>
      </c>
      <c r="B22" s="7" t="s">
        <v>114</v>
      </c>
      <c r="C22" s="6">
        <v>3.0700000000000002E-2</v>
      </c>
      <c r="D22" s="6">
        <v>4.5499999999999999E-2</v>
      </c>
      <c r="E22" s="6">
        <v>5.1900000000000002E-2</v>
      </c>
      <c r="F22" s="6">
        <v>5.0599999999999999E-2</v>
      </c>
      <c r="G22" s="6">
        <v>2.8299999999999999E-2</v>
      </c>
      <c r="H22" s="6">
        <v>0</v>
      </c>
      <c r="I22" s="6">
        <v>3.0594725218876361E-2</v>
      </c>
      <c r="J22" s="6">
        <v>4.5724918694652186E-2</v>
      </c>
      <c r="K22" s="6">
        <v>5.2531753161200082E-2</v>
      </c>
      <c r="L22" s="6">
        <v>5.146151099002319E-2</v>
      </c>
      <c r="M22" s="6">
        <v>2.8914963891707352E-2</v>
      </c>
      <c r="N22" s="6">
        <v>0</v>
      </c>
    </row>
    <row r="23" spans="1:14">
      <c r="A23" s="8" t="s">
        <v>43</v>
      </c>
      <c r="B23" s="7" t="s">
        <v>44</v>
      </c>
      <c r="C23" s="6">
        <v>4.9599999999999998E-2</v>
      </c>
      <c r="D23" s="6">
        <v>8.8200000000000001E-2</v>
      </c>
      <c r="E23" s="6">
        <v>0.14549999999999999</v>
      </c>
      <c r="F23" s="6">
        <v>0.19139999999999999</v>
      </c>
      <c r="G23" s="6">
        <v>0.2364</v>
      </c>
      <c r="H23" s="6">
        <v>0.22470000000000001</v>
      </c>
      <c r="I23" s="6">
        <v>4.9328861902209899E-2</v>
      </c>
      <c r="J23" s="6">
        <v>8.8454792500260254E-2</v>
      </c>
      <c r="K23" s="6">
        <v>0.1469700250006801</v>
      </c>
      <c r="L23" s="6">
        <v>0.1942608067038934</v>
      </c>
      <c r="M23" s="6">
        <v>0.24104322465423619</v>
      </c>
      <c r="N23" s="6">
        <v>0.2297272778266306</v>
      </c>
    </row>
    <row r="24" spans="1:14">
      <c r="A24" s="8" t="s">
        <v>45</v>
      </c>
      <c r="B24" s="7" t="s">
        <v>46</v>
      </c>
      <c r="C24" s="6">
        <v>2.4400000000000002E-2</v>
      </c>
      <c r="D24" s="6">
        <v>6.4600000000000005E-2</v>
      </c>
      <c r="E24" s="6">
        <v>0.1162</v>
      </c>
      <c r="F24" s="6">
        <v>0.1613</v>
      </c>
      <c r="G24" s="6">
        <v>0.20860000000000001</v>
      </c>
      <c r="H24" s="6">
        <v>0.24260000000000001</v>
      </c>
      <c r="I24" s="6">
        <v>2.3026585602935939E-2</v>
      </c>
      <c r="J24" s="6">
        <v>6.1475999819422034E-2</v>
      </c>
      <c r="K24" s="6">
        <v>0.11137615030675535</v>
      </c>
      <c r="L24" s="6">
        <v>0.15534522969069239</v>
      </c>
      <c r="M24" s="6">
        <v>0.20182829912107858</v>
      </c>
      <c r="N24" s="6">
        <v>0.23535346155218659</v>
      </c>
    </row>
    <row r="25" spans="1:14">
      <c r="A25" s="8" t="s">
        <v>47</v>
      </c>
      <c r="B25" s="7" t="s">
        <v>48</v>
      </c>
      <c r="C25" s="6">
        <v>1.2999999999999999E-2</v>
      </c>
      <c r="D25" s="6">
        <v>2.58E-2</v>
      </c>
      <c r="E25" s="6">
        <v>3.4000000000000002E-2</v>
      </c>
      <c r="F25" s="6">
        <v>4.1700000000000001E-2</v>
      </c>
      <c r="G25" s="6">
        <v>0.05</v>
      </c>
      <c r="H25" s="6">
        <v>7.1300000000000002E-2</v>
      </c>
      <c r="I25" s="6">
        <v>1.3079512193147758E-2</v>
      </c>
      <c r="J25" s="6">
        <v>2.6175878397579115E-2</v>
      </c>
      <c r="K25" s="6">
        <v>3.4743492075211088E-2</v>
      </c>
      <c r="L25" s="6">
        <v>4.2816196507821348E-2</v>
      </c>
      <c r="M25" s="6">
        <v>5.1575831261052384E-2</v>
      </c>
      <c r="N25" s="6">
        <v>7.3744188244213985E-2</v>
      </c>
    </row>
    <row r="26" spans="1:14">
      <c r="A26" s="8" t="s">
        <v>49</v>
      </c>
      <c r="B26" s="7" t="s">
        <v>50</v>
      </c>
      <c r="C26" s="6">
        <v>1.0200000000000001E-2</v>
      </c>
      <c r="D26" s="6">
        <v>2.5899999999999999E-2</v>
      </c>
      <c r="E26" s="6">
        <v>4.0399999999999998E-2</v>
      </c>
      <c r="F26" s="6">
        <v>5.21E-2</v>
      </c>
      <c r="G26" s="6">
        <v>6.2399999999999997E-2</v>
      </c>
      <c r="H26" s="6">
        <v>7.7499999999999999E-2</v>
      </c>
      <c r="I26" s="6">
        <v>9.9943847508521082E-3</v>
      </c>
      <c r="J26" s="6">
        <v>2.55911039188624E-2</v>
      </c>
      <c r="K26" s="6">
        <v>4.0205328344169629E-2</v>
      </c>
      <c r="L26" s="6">
        <v>5.2097568111265979E-2</v>
      </c>
      <c r="M26" s="6">
        <v>6.26857057136158E-2</v>
      </c>
      <c r="N26" s="6">
        <v>7.8063437224344237E-2</v>
      </c>
    </row>
    <row r="27" spans="1:14">
      <c r="A27" s="8" t="s">
        <v>51</v>
      </c>
      <c r="B27" s="7" t="s">
        <v>52</v>
      </c>
      <c r="C27" s="6">
        <v>4.53E-2</v>
      </c>
      <c r="D27" s="6">
        <v>4.9399999999999999E-2</v>
      </c>
      <c r="E27" s="6">
        <v>3.8699999999999998E-2</v>
      </c>
      <c r="F27" s="6">
        <v>2.3300000000000001E-2</v>
      </c>
      <c r="G27" s="6">
        <v>0.01</v>
      </c>
      <c r="H27" s="6">
        <v>0</v>
      </c>
      <c r="I27" s="6">
        <v>4.4064410082851613E-2</v>
      </c>
      <c r="J27" s="6">
        <v>4.8456280086167057E-2</v>
      </c>
      <c r="K27" s="6">
        <v>3.8233766090660343E-2</v>
      </c>
      <c r="L27" s="6">
        <v>2.3129674155622781E-2</v>
      </c>
      <c r="M27" s="6">
        <v>9.9728157531654479E-3</v>
      </c>
      <c r="N27" s="6">
        <v>0</v>
      </c>
    </row>
    <row r="28" spans="1:14">
      <c r="A28" s="8" t="s">
        <v>53</v>
      </c>
      <c r="B28" s="7" t="s">
        <v>54</v>
      </c>
      <c r="C28" s="6">
        <v>2.0899999999999998E-2</v>
      </c>
      <c r="D28" s="6">
        <v>3.4200000000000001E-2</v>
      </c>
      <c r="E28" s="6">
        <v>3.32E-2</v>
      </c>
      <c r="F28" s="6">
        <v>2.7699999999999999E-2</v>
      </c>
      <c r="G28" s="6">
        <v>1.8200000000000001E-2</v>
      </c>
      <c r="H28" s="6">
        <v>5.1000000000000004E-3</v>
      </c>
      <c r="I28" s="6">
        <v>2.0712068188402516E-2</v>
      </c>
      <c r="J28" s="6">
        <v>3.4177213459682783E-2</v>
      </c>
      <c r="K28" s="6">
        <v>3.341655077013355E-2</v>
      </c>
      <c r="L28" s="6">
        <v>2.8014365169784838E-2</v>
      </c>
      <c r="M28" s="6">
        <v>1.8491690091383101E-2</v>
      </c>
      <c r="N28" s="6">
        <v>5.1956206230687639E-3</v>
      </c>
    </row>
    <row r="29" spans="1:14">
      <c r="A29" s="8" t="s">
        <v>115</v>
      </c>
      <c r="B29" s="7" t="s">
        <v>116</v>
      </c>
      <c r="C29" s="6">
        <v>5.0000000000000001E-3</v>
      </c>
      <c r="D29" s="6">
        <v>8.5000000000000006E-3</v>
      </c>
      <c r="E29" s="6">
        <v>1.3100000000000001E-2</v>
      </c>
      <c r="F29" s="6">
        <v>1.6799999999999999E-2</v>
      </c>
      <c r="G29" s="6">
        <v>2.01E-2</v>
      </c>
      <c r="H29" s="6">
        <v>2.86E-2</v>
      </c>
      <c r="I29" s="6">
        <v>4.8818690511617567E-3</v>
      </c>
      <c r="J29" s="6">
        <v>8.3689006269130582E-3</v>
      </c>
      <c r="K29" s="6">
        <v>1.2990736470618028E-2</v>
      </c>
      <c r="L29" s="6">
        <v>1.6739760439728826E-2</v>
      </c>
      <c r="M29" s="6">
        <v>2.0120567057461448E-2</v>
      </c>
      <c r="N29" s="6">
        <v>2.8705970189528661E-2</v>
      </c>
    </row>
    <row r="30" spans="1:14">
      <c r="A30" s="8" t="s">
        <v>57</v>
      </c>
      <c r="B30" s="7" t="s">
        <v>58</v>
      </c>
      <c r="C30" s="6">
        <v>5.0000000000000001E-3</v>
      </c>
      <c r="D30" s="6">
        <v>1.9199999999999998E-2</v>
      </c>
      <c r="E30" s="6">
        <v>4.3200000000000002E-2</v>
      </c>
      <c r="F30" s="6">
        <v>6.2700000000000006E-2</v>
      </c>
      <c r="G30" s="6">
        <v>8.4099999999999994E-2</v>
      </c>
      <c r="H30" s="6">
        <v>0.11899999999999999</v>
      </c>
      <c r="I30" s="6">
        <v>4.8505862996786313E-3</v>
      </c>
      <c r="J30" s="6">
        <v>1.8782734682339323E-2</v>
      </c>
      <c r="K30" s="6">
        <v>4.2565166230664558E-2</v>
      </c>
      <c r="L30" s="6">
        <v>6.2074839815308078E-2</v>
      </c>
      <c r="M30" s="6">
        <v>8.3646594546917724E-2</v>
      </c>
      <c r="N30" s="6">
        <v>0.11867555396087728</v>
      </c>
    </row>
    <row r="31" spans="1:14">
      <c r="A31" s="8" t="s">
        <v>59</v>
      </c>
      <c r="B31" s="7" t="s">
        <v>60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>
      <c r="A32" s="8" t="s">
        <v>61</v>
      </c>
      <c r="B32" s="7" t="s">
        <v>62</v>
      </c>
      <c r="C32" s="6">
        <v>1.6899999999999998E-2</v>
      </c>
      <c r="D32" s="6">
        <v>3.7699999999999997E-2</v>
      </c>
      <c r="E32" s="6">
        <v>5.5899999999999998E-2</v>
      </c>
      <c r="F32" s="6">
        <v>6.6000000000000003E-2</v>
      </c>
      <c r="G32" s="6">
        <v>7.2800000000000004E-2</v>
      </c>
      <c r="H32" s="6">
        <v>4.9500000000000002E-2</v>
      </c>
      <c r="I32" s="6">
        <v>1.6430086629480496E-2</v>
      </c>
      <c r="J32" s="6">
        <v>3.6959651083337493E-2</v>
      </c>
      <c r="K32" s="6">
        <v>5.5196471027714973E-2</v>
      </c>
      <c r="L32" s="6">
        <v>6.5481846809480548E-2</v>
      </c>
      <c r="M32" s="6">
        <v>7.2562554831101592E-2</v>
      </c>
      <c r="N32" s="6">
        <v>4.9470741785337204E-2</v>
      </c>
    </row>
    <row r="33" spans="1:14">
      <c r="A33" s="8" t="s">
        <v>63</v>
      </c>
      <c r="B33" s="7" t="s">
        <v>64</v>
      </c>
      <c r="C33" s="6">
        <v>0</v>
      </c>
      <c r="D33" s="6">
        <v>5.3E-3</v>
      </c>
      <c r="E33" s="6">
        <v>5.3E-3</v>
      </c>
      <c r="F33" s="6">
        <v>7.7000000000000002E-3</v>
      </c>
      <c r="G33" s="6">
        <v>1.3100000000000001E-2</v>
      </c>
      <c r="H33" s="6">
        <v>2.6200000000000001E-2</v>
      </c>
      <c r="I33" s="6">
        <v>0</v>
      </c>
      <c r="J33" s="6">
        <v>5.2091349500848682E-3</v>
      </c>
      <c r="K33" s="6">
        <v>5.2466077980246597E-3</v>
      </c>
      <c r="L33" s="6">
        <v>7.658980004429901E-3</v>
      </c>
      <c r="M33" s="6">
        <v>1.3090484119833868E-2</v>
      </c>
      <c r="N33" s="6">
        <v>2.6251114205224722E-2</v>
      </c>
    </row>
    <row r="34" spans="1:14">
      <c r="A34" s="8" t="s">
        <v>65</v>
      </c>
      <c r="B34" s="7" t="s">
        <v>66</v>
      </c>
      <c r="C34" s="6">
        <v>1.35E-2</v>
      </c>
      <c r="D34" s="6">
        <v>3.6400000000000002E-2</v>
      </c>
      <c r="E34" s="6">
        <v>5.7099999999999998E-2</v>
      </c>
      <c r="F34" s="6">
        <v>6.8900000000000003E-2</v>
      </c>
      <c r="G34" s="6">
        <v>8.1500000000000003E-2</v>
      </c>
      <c r="H34" s="6">
        <v>8.5800000000000001E-2</v>
      </c>
      <c r="I34" s="6">
        <v>1.3009764827234087E-2</v>
      </c>
      <c r="J34" s="6">
        <v>3.5372880337987404E-2</v>
      </c>
      <c r="K34" s="6">
        <v>5.5887945055453657E-2</v>
      </c>
      <c r="L34" s="6">
        <v>6.7760832761512138E-2</v>
      </c>
      <c r="M34" s="6">
        <v>8.0523255266538946E-2</v>
      </c>
      <c r="N34" s="6">
        <v>8.4998848093615798E-2</v>
      </c>
    </row>
    <row r="35" spans="1:14">
      <c r="A35" s="8" t="s">
        <v>117</v>
      </c>
      <c r="B35" s="7" t="s">
        <v>68</v>
      </c>
      <c r="C35" s="6">
        <v>1.11E-2</v>
      </c>
      <c r="D35" s="6">
        <v>1.7000000000000001E-2</v>
      </c>
      <c r="E35" s="6">
        <v>1.9900000000000001E-2</v>
      </c>
      <c r="F35" s="6">
        <v>2.1499999999999998E-2</v>
      </c>
      <c r="G35" s="6">
        <v>2.29E-2</v>
      </c>
      <c r="H35" s="6">
        <v>2.24E-2</v>
      </c>
      <c r="I35" s="6">
        <v>1.054770034155276E-2</v>
      </c>
      <c r="J35" s="6">
        <v>1.6289850154258455E-2</v>
      </c>
      <c r="K35" s="6">
        <v>1.9205881113853251E-2</v>
      </c>
      <c r="L35" s="6">
        <v>2.084956985094126E-2</v>
      </c>
      <c r="M35" s="6">
        <v>2.2309935970466186E-2</v>
      </c>
      <c r="N35" s="6">
        <v>2.1881288759069101E-2</v>
      </c>
    </row>
    <row r="36" spans="1:14">
      <c r="A36" s="8" t="s">
        <v>69</v>
      </c>
      <c r="B36" s="7" t="s">
        <v>70</v>
      </c>
      <c r="C36" s="6">
        <v>0</v>
      </c>
      <c r="D36" s="6">
        <v>1.0500000000000001E-2</v>
      </c>
      <c r="E36" s="6">
        <v>1.9900000000000001E-2</v>
      </c>
      <c r="F36" s="6">
        <v>2.53E-2</v>
      </c>
      <c r="G36" s="6">
        <v>2.8500000000000001E-2</v>
      </c>
      <c r="H36" s="6">
        <v>2.7300000000000001E-2</v>
      </c>
      <c r="I36" s="6">
        <v>0</v>
      </c>
      <c r="J36" s="6">
        <v>1.0186710702904819E-2</v>
      </c>
      <c r="K36" s="6">
        <v>1.9445125110333663E-2</v>
      </c>
      <c r="L36" s="6">
        <v>2.4840233060430598E-2</v>
      </c>
      <c r="M36" s="6">
        <v>2.8111512126718561E-2</v>
      </c>
      <c r="N36" s="6">
        <v>2.7000016628944197E-2</v>
      </c>
    </row>
    <row r="37" spans="1:14">
      <c r="A37" s="8" t="s">
        <v>95</v>
      </c>
      <c r="B37" s="7" t="s">
        <v>72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9DE9-1DC8-42D1-8185-7539E809925B}">
  <dimension ref="A1:N38"/>
  <sheetViews>
    <sheetView workbookViewId="0">
      <selection sqref="A1:B1"/>
    </sheetView>
  </sheetViews>
  <sheetFormatPr defaultRowHeight="15"/>
  <cols>
    <col min="1" max="1" width="42.7109375" bestFit="1" customWidth="1"/>
  </cols>
  <sheetData>
    <row r="1" spans="1:14">
      <c r="A1" s="18" t="s">
        <v>118</v>
      </c>
      <c r="B1" s="19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4" t="s">
        <v>13</v>
      </c>
      <c r="B2" s="14" t="s">
        <v>14</v>
      </c>
      <c r="C2" s="15">
        <v>46037</v>
      </c>
      <c r="D2" s="3">
        <v>46037</v>
      </c>
      <c r="E2" s="3">
        <v>46037</v>
      </c>
      <c r="F2" s="3">
        <v>46037</v>
      </c>
      <c r="G2" s="3">
        <v>46037</v>
      </c>
      <c r="H2" s="3">
        <v>46037</v>
      </c>
      <c r="I2" s="3">
        <v>46108</v>
      </c>
      <c r="J2" s="3">
        <v>46108</v>
      </c>
      <c r="K2" s="3">
        <v>46108</v>
      </c>
      <c r="L2" s="3">
        <v>46108</v>
      </c>
      <c r="M2" s="3">
        <v>46108</v>
      </c>
      <c r="N2" s="3">
        <v>46108</v>
      </c>
    </row>
    <row r="3" spans="1:14">
      <c r="A3" s="16" t="s">
        <v>15</v>
      </c>
      <c r="B3" s="7" t="s">
        <v>16</v>
      </c>
      <c r="C3" s="4">
        <v>0.02</v>
      </c>
      <c r="D3" s="5">
        <v>0.02</v>
      </c>
      <c r="E3" s="4">
        <v>0.02</v>
      </c>
      <c r="F3" s="4">
        <v>0.02</v>
      </c>
      <c r="G3" s="4">
        <v>0.02</v>
      </c>
      <c r="H3" s="4">
        <v>0.02</v>
      </c>
      <c r="I3" s="4">
        <v>2.0652231426603416E-2</v>
      </c>
      <c r="J3" s="4">
        <v>2.1050259504175144E-2</v>
      </c>
      <c r="K3" s="4">
        <v>2.1391001871511602E-2</v>
      </c>
      <c r="L3" s="4">
        <v>2.1625123602571367E-2</v>
      </c>
      <c r="M3" s="4">
        <v>2.1867187286748867E-2</v>
      </c>
      <c r="N3" s="4">
        <v>2.2043488912270873E-2</v>
      </c>
    </row>
    <row r="4" spans="1:14">
      <c r="A4" s="8" t="s">
        <v>119</v>
      </c>
      <c r="B4" s="7" t="s">
        <v>120</v>
      </c>
      <c r="C4" s="4">
        <v>0.15280000000000002</v>
      </c>
      <c r="D4" s="4">
        <v>4.8400000000000006E-2</v>
      </c>
      <c r="E4" s="4">
        <v>1.03E-2</v>
      </c>
      <c r="F4" s="4">
        <v>5.1000000000000004E-3</v>
      </c>
      <c r="G4" s="4">
        <v>0</v>
      </c>
      <c r="H4" s="4">
        <v>0</v>
      </c>
      <c r="I4" s="4">
        <v>0.15766683015177954</v>
      </c>
      <c r="J4" s="4">
        <v>5.0904106025986218E-2</v>
      </c>
      <c r="K4" s="4">
        <v>1.1008251660952951E-2</v>
      </c>
      <c r="L4" s="4">
        <v>5.510344783159796E-3</v>
      </c>
      <c r="M4" s="4">
        <v>0</v>
      </c>
      <c r="N4" s="4">
        <v>0</v>
      </c>
    </row>
    <row r="5" spans="1:14">
      <c r="A5" s="9" t="s">
        <v>19</v>
      </c>
      <c r="B5" s="7" t="s">
        <v>20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>
      <c r="A6" s="8" t="s">
        <v>21</v>
      </c>
      <c r="B6" s="7" t="s">
        <v>22</v>
      </c>
      <c r="C6" s="4">
        <v>6.8600000000000008E-2</v>
      </c>
      <c r="D6" s="4">
        <v>2.41E-2</v>
      </c>
      <c r="E6" s="4">
        <v>1.0100000000000001E-2</v>
      </c>
      <c r="F6" s="4">
        <v>0</v>
      </c>
      <c r="G6" s="4">
        <v>0</v>
      </c>
      <c r="H6" s="4">
        <v>0</v>
      </c>
      <c r="I6" s="4">
        <v>6.986250201748001E-2</v>
      </c>
      <c r="J6" s="4">
        <v>2.5016556716158739E-2</v>
      </c>
      <c r="K6" s="4">
        <v>1.0653824438823477E-2</v>
      </c>
      <c r="L6" s="4">
        <v>0</v>
      </c>
      <c r="M6" s="4">
        <v>0</v>
      </c>
      <c r="N6" s="4">
        <v>0</v>
      </c>
    </row>
    <row r="7" spans="1:14">
      <c r="A7" s="8" t="s">
        <v>23</v>
      </c>
      <c r="B7" s="7" t="s">
        <v>24</v>
      </c>
      <c r="C7" s="4">
        <v>3.6600000000000001E-2</v>
      </c>
      <c r="D7" s="4">
        <v>5.8900000000000001E-2</v>
      </c>
      <c r="E7" s="4">
        <v>5.1200000000000002E-2</v>
      </c>
      <c r="F7" s="4">
        <v>3.4599999999999999E-2</v>
      </c>
      <c r="G7" s="4">
        <v>1.12E-2</v>
      </c>
      <c r="H7" s="4">
        <v>0</v>
      </c>
      <c r="I7" s="4">
        <v>3.6660042406486411E-2</v>
      </c>
      <c r="J7" s="4">
        <v>6.0133660791767657E-2</v>
      </c>
      <c r="K7" s="4">
        <v>5.3118521848905732E-2</v>
      </c>
      <c r="L7" s="4">
        <v>3.6289383625095213E-2</v>
      </c>
      <c r="M7" s="4">
        <v>1.1878342451677107E-2</v>
      </c>
      <c r="N7" s="4">
        <v>0</v>
      </c>
    </row>
    <row r="8" spans="1:14">
      <c r="A8" s="8" t="s">
        <v>25</v>
      </c>
      <c r="B8" s="7" t="s">
        <v>26</v>
      </c>
      <c r="C8" s="4">
        <v>1.3100000000000001E-2</v>
      </c>
      <c r="D8" s="4">
        <v>7.0000000000000001E-3</v>
      </c>
      <c r="E8" s="4">
        <v>0</v>
      </c>
      <c r="F8" s="4">
        <v>0</v>
      </c>
      <c r="G8" s="4">
        <v>0</v>
      </c>
      <c r="H8" s="4">
        <v>0</v>
      </c>
      <c r="I8" s="4">
        <v>1.3361136192812458E-2</v>
      </c>
      <c r="J8" s="4">
        <v>7.2771379253507669E-3</v>
      </c>
      <c r="K8" s="4">
        <v>0</v>
      </c>
      <c r="L8" s="4">
        <v>0</v>
      </c>
      <c r="M8" s="4">
        <v>0</v>
      </c>
      <c r="N8" s="4">
        <v>0</v>
      </c>
    </row>
    <row r="9" spans="1:14">
      <c r="A9" s="8" t="s">
        <v>27</v>
      </c>
      <c r="B9" s="7" t="s">
        <v>28</v>
      </c>
      <c r="C9" s="4">
        <v>1.6400000000000001E-2</v>
      </c>
      <c r="D9" s="4">
        <v>2.06E-2</v>
      </c>
      <c r="E9" s="4">
        <v>1.4700000000000001E-2</v>
      </c>
      <c r="F9" s="4">
        <v>7.8000000000000005E-3</v>
      </c>
      <c r="G9" s="4">
        <v>5.0000000000000001E-3</v>
      </c>
      <c r="H9" s="4">
        <v>0</v>
      </c>
      <c r="I9" s="4">
        <v>1.6436416161612653E-2</v>
      </c>
      <c r="J9" s="4">
        <v>2.1043645264234558E-2</v>
      </c>
      <c r="K9" s="4">
        <v>1.5259656520610891E-2</v>
      </c>
      <c r="L9" s="4">
        <v>8.1855807826053117E-3</v>
      </c>
      <c r="M9" s="4">
        <v>5.3059020287521382E-3</v>
      </c>
      <c r="N9" s="4">
        <v>0</v>
      </c>
    </row>
    <row r="10" spans="1:14">
      <c r="A10" s="8" t="s">
        <v>29</v>
      </c>
      <c r="B10" s="7" t="s">
        <v>30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s="8" t="s">
        <v>31</v>
      </c>
      <c r="B11" s="7" t="s">
        <v>32</v>
      </c>
      <c r="C11" s="6">
        <v>1.9400000000000001E-2</v>
      </c>
      <c r="D11" s="6">
        <v>8.7000000000000011E-3</v>
      </c>
      <c r="E11" s="6">
        <v>0</v>
      </c>
      <c r="F11" s="6">
        <v>0</v>
      </c>
      <c r="G11" s="6">
        <v>0</v>
      </c>
      <c r="H11" s="6">
        <v>0</v>
      </c>
      <c r="I11" s="6">
        <v>1.9706655843018492E-2</v>
      </c>
      <c r="J11" s="6">
        <v>9.0078454420682765E-3</v>
      </c>
      <c r="K11" s="6">
        <v>0</v>
      </c>
      <c r="L11" s="6">
        <v>0</v>
      </c>
      <c r="M11" s="6">
        <v>0</v>
      </c>
      <c r="N11" s="6">
        <v>0</v>
      </c>
    </row>
    <row r="12" spans="1:14">
      <c r="A12" s="8" t="s">
        <v>33</v>
      </c>
      <c r="B12" s="7" t="s">
        <v>34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>
      <c r="A13" s="8" t="s">
        <v>37</v>
      </c>
      <c r="B13" s="7" t="s">
        <v>38</v>
      </c>
      <c r="C13" s="6">
        <v>7.7499999999999999E-2</v>
      </c>
      <c r="D13" s="6">
        <v>4.7E-2</v>
      </c>
      <c r="E13" s="6">
        <v>2.87E-2</v>
      </c>
      <c r="F13" s="6">
        <v>1.14E-2</v>
      </c>
      <c r="G13" s="6">
        <v>5.1000000000000004E-3</v>
      </c>
      <c r="H13" s="6">
        <v>0</v>
      </c>
      <c r="I13" s="6">
        <v>7.8064421742782455E-2</v>
      </c>
      <c r="J13" s="6">
        <v>4.8254717064848497E-2</v>
      </c>
      <c r="K13" s="6">
        <v>2.9943149863894004E-2</v>
      </c>
      <c r="L13" s="6">
        <v>1.2023970754469133E-2</v>
      </c>
      <c r="M13" s="6">
        <v>5.4393569808444077E-3</v>
      </c>
      <c r="N13" s="6">
        <v>0</v>
      </c>
    </row>
    <row r="14" spans="1:14">
      <c r="A14" s="8" t="s">
        <v>39</v>
      </c>
      <c r="B14" s="7" t="s">
        <v>40</v>
      </c>
      <c r="C14" s="6">
        <v>3.56E-2</v>
      </c>
      <c r="D14" s="6">
        <v>3.1400000000000004E-2</v>
      </c>
      <c r="E14" s="6">
        <v>2.24E-2</v>
      </c>
      <c r="F14" s="6">
        <v>1.6400000000000001E-2</v>
      </c>
      <c r="G14" s="6">
        <v>7.6E-3</v>
      </c>
      <c r="H14" s="6">
        <v>0</v>
      </c>
      <c r="I14" s="6">
        <v>3.5395276057283771E-2</v>
      </c>
      <c r="J14" s="6">
        <v>3.1821117338991303E-2</v>
      </c>
      <c r="K14" s="6">
        <v>2.3067868492407714E-2</v>
      </c>
      <c r="L14" s="6">
        <v>1.7073822780798421E-2</v>
      </c>
      <c r="M14" s="6">
        <v>8.0008262599074453E-3</v>
      </c>
      <c r="N14" s="6">
        <v>0</v>
      </c>
    </row>
    <row r="15" spans="1:14">
      <c r="A15" s="8" t="s">
        <v>41</v>
      </c>
      <c r="B15" s="7" t="s">
        <v>42</v>
      </c>
      <c r="C15" s="6">
        <v>2.35E-2</v>
      </c>
      <c r="D15" s="6">
        <v>2.1000000000000001E-2</v>
      </c>
      <c r="E15" s="6">
        <v>1.5100000000000001E-2</v>
      </c>
      <c r="F15" s="6">
        <v>8.8999999999999999E-3</v>
      </c>
      <c r="G15" s="6">
        <v>0</v>
      </c>
      <c r="H15" s="6">
        <v>0</v>
      </c>
      <c r="I15" s="6">
        <v>2.3455948146829605E-2</v>
      </c>
      <c r="J15" s="6">
        <v>2.1364606408945198E-2</v>
      </c>
      <c r="K15" s="6">
        <v>1.5610838131669476E-2</v>
      </c>
      <c r="L15" s="6">
        <v>9.30179475725843E-3</v>
      </c>
      <c r="M15" s="6">
        <v>0</v>
      </c>
      <c r="N15" s="6">
        <v>0</v>
      </c>
    </row>
    <row r="16" spans="1:14">
      <c r="A16" s="8" t="s">
        <v>43</v>
      </c>
      <c r="B16" s="7" t="s">
        <v>44</v>
      </c>
      <c r="C16" s="6">
        <v>5.2000000000000005E-2</v>
      </c>
      <c r="D16" s="6">
        <v>7.2500000000000009E-2</v>
      </c>
      <c r="E16" s="6">
        <v>9.3200000000000005E-2</v>
      </c>
      <c r="F16" s="6">
        <v>0.10740000000000001</v>
      </c>
      <c r="G16" s="6">
        <v>0.1231</v>
      </c>
      <c r="H16" s="6">
        <v>0.10400000000000001</v>
      </c>
      <c r="I16" s="6">
        <v>5.2245035408149849E-2</v>
      </c>
      <c r="J16" s="6">
        <v>7.4245504364540568E-2</v>
      </c>
      <c r="K16" s="6">
        <v>9.6988834212894212E-2</v>
      </c>
      <c r="L16" s="6">
        <v>0.11298936839326358</v>
      </c>
      <c r="M16" s="6">
        <v>0.13095608365258099</v>
      </c>
      <c r="N16" s="6">
        <v>0.1115291451999925</v>
      </c>
    </row>
    <row r="17" spans="1:14">
      <c r="A17" s="8" t="s">
        <v>45</v>
      </c>
      <c r="B17" s="7" t="s">
        <v>46</v>
      </c>
      <c r="C17" s="6">
        <v>3.6000000000000004E-2</v>
      </c>
      <c r="D17" s="6">
        <v>6.1800000000000001E-2</v>
      </c>
      <c r="E17" s="6">
        <v>8.8099999999999998E-2</v>
      </c>
      <c r="F17" s="6">
        <v>0.1111</v>
      </c>
      <c r="G17" s="6">
        <v>0.1351</v>
      </c>
      <c r="H17" s="6">
        <v>0.1479</v>
      </c>
      <c r="I17" s="6">
        <v>3.2141942501473945E-2</v>
      </c>
      <c r="J17" s="6">
        <v>5.6240421284881874E-2</v>
      </c>
      <c r="K17" s="6">
        <v>8.1472242471393605E-2</v>
      </c>
      <c r="L17" s="6">
        <v>0.10386645121151236</v>
      </c>
      <c r="M17" s="6">
        <v>0.12771764726255869</v>
      </c>
      <c r="N17" s="6">
        <v>0.14094547682187264</v>
      </c>
    </row>
    <row r="18" spans="1:14">
      <c r="A18" s="8" t="s">
        <v>47</v>
      </c>
      <c r="B18" s="7" t="s">
        <v>48</v>
      </c>
      <c r="C18" s="6">
        <v>1.49E-2</v>
      </c>
      <c r="D18" s="6">
        <v>2.35E-2</v>
      </c>
      <c r="E18" s="6">
        <v>3.2100000000000004E-2</v>
      </c>
      <c r="F18" s="6">
        <v>4.0899999999999999E-2</v>
      </c>
      <c r="G18" s="6">
        <v>5.0900000000000001E-2</v>
      </c>
      <c r="H18" s="6">
        <v>7.1199999999999999E-2</v>
      </c>
      <c r="I18" s="6">
        <v>1.451094774014193E-2</v>
      </c>
      <c r="J18" s="6">
        <v>2.3327480923993064E-2</v>
      </c>
      <c r="K18" s="6">
        <v>3.2380137206753389E-2</v>
      </c>
      <c r="L18" s="6">
        <v>4.1708486728324154E-2</v>
      </c>
      <c r="M18" s="6">
        <v>5.2487179227622298E-2</v>
      </c>
      <c r="N18" s="6">
        <v>7.4012121546034704E-2</v>
      </c>
    </row>
    <row r="19" spans="1:14">
      <c r="A19" s="8" t="s">
        <v>49</v>
      </c>
      <c r="B19" s="7" t="s">
        <v>50</v>
      </c>
      <c r="C19" s="6">
        <v>8.8999999999999999E-3</v>
      </c>
      <c r="D19" s="6">
        <v>1.67E-2</v>
      </c>
      <c r="E19" s="6">
        <v>2.64E-2</v>
      </c>
      <c r="F19" s="6">
        <v>3.3300000000000003E-2</v>
      </c>
      <c r="G19" s="6">
        <v>4.0800000000000003E-2</v>
      </c>
      <c r="H19" s="6">
        <v>4.6300000000000001E-2</v>
      </c>
      <c r="I19" s="6">
        <v>8.3015291017553838E-3</v>
      </c>
      <c r="J19" s="6">
        <v>1.5877240754681044E-2</v>
      </c>
      <c r="K19" s="6">
        <v>2.5505636009343718E-2</v>
      </c>
      <c r="L19" s="6">
        <v>3.2523998842895092E-2</v>
      </c>
      <c r="M19" s="6">
        <v>4.0295281370174608E-2</v>
      </c>
      <c r="N19" s="6">
        <v>4.6095913840497264E-2</v>
      </c>
    </row>
    <row r="20" spans="1:14">
      <c r="A20" s="8" t="s">
        <v>121</v>
      </c>
      <c r="B20" s="7" t="s">
        <v>122</v>
      </c>
      <c r="C20" s="6">
        <v>3.8300000000000001E-2</v>
      </c>
      <c r="D20" s="6">
        <v>5.7700000000000001E-2</v>
      </c>
      <c r="E20" s="6">
        <v>6.7900000000000002E-2</v>
      </c>
      <c r="F20" s="6">
        <v>7.3000000000000009E-2</v>
      </c>
      <c r="G20" s="6">
        <v>7.5900000000000009E-2</v>
      </c>
      <c r="H20" s="6">
        <v>7.1300000000000002E-2</v>
      </c>
      <c r="I20" s="6">
        <v>3.6027719661163811E-2</v>
      </c>
      <c r="J20" s="6">
        <v>5.5322816875235804E-2</v>
      </c>
      <c r="K20" s="6">
        <v>6.615640812274165E-2</v>
      </c>
      <c r="L20" s="6">
        <v>7.1903904890551346E-2</v>
      </c>
      <c r="M20" s="6">
        <v>7.5597201389533283E-2</v>
      </c>
      <c r="N20" s="6">
        <v>7.1588107362370063E-2</v>
      </c>
    </row>
    <row r="21" spans="1:14">
      <c r="A21" s="8" t="s">
        <v>51</v>
      </c>
      <c r="B21" s="7" t="s">
        <v>52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>
      <c r="A22" s="8" t="s">
        <v>53</v>
      </c>
      <c r="B22" s="7" t="s">
        <v>54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>
      <c r="A23" s="8" t="s">
        <v>55</v>
      </c>
      <c r="B23" s="7" t="s">
        <v>56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>
      <c r="A24" s="8" t="s">
        <v>57</v>
      </c>
      <c r="B24" s="7" t="s">
        <v>58</v>
      </c>
      <c r="C24" s="6">
        <v>6.0000000000000001E-3</v>
      </c>
      <c r="D24" s="6">
        <v>2.1500000000000002E-2</v>
      </c>
      <c r="E24" s="6">
        <v>4.0899999999999999E-2</v>
      </c>
      <c r="F24" s="6">
        <v>5.7800000000000004E-2</v>
      </c>
      <c r="G24" s="6">
        <v>7.6100000000000001E-2</v>
      </c>
      <c r="H24" s="6">
        <v>0.1012</v>
      </c>
      <c r="I24" s="6">
        <v>5.7135536386708399E-3</v>
      </c>
      <c r="J24" s="6">
        <v>2.0868151907848964E-2</v>
      </c>
      <c r="K24" s="6">
        <v>4.0340614473846598E-2</v>
      </c>
      <c r="L24" s="6">
        <v>5.7633436013356791E-2</v>
      </c>
      <c r="M24" s="6">
        <v>7.6730081022613139E-2</v>
      </c>
      <c r="N24" s="6">
        <v>0.10286056869293349</v>
      </c>
    </row>
    <row r="25" spans="1:14">
      <c r="A25" s="8" t="s">
        <v>61</v>
      </c>
      <c r="B25" s="7" t="s">
        <v>62</v>
      </c>
      <c r="C25" s="6">
        <v>2.8300000000000002E-2</v>
      </c>
      <c r="D25" s="6">
        <v>4.5700000000000005E-2</v>
      </c>
      <c r="E25" s="6">
        <v>5.9200000000000003E-2</v>
      </c>
      <c r="F25" s="6">
        <v>6.6799999999999998E-2</v>
      </c>
      <c r="G25" s="6">
        <v>7.2599999999999998E-2</v>
      </c>
      <c r="H25" s="6">
        <v>5.2900000000000003E-2</v>
      </c>
      <c r="I25" s="6">
        <v>2.8084905742568788E-2</v>
      </c>
      <c r="J25" s="6">
        <v>4.6226733510728785E-2</v>
      </c>
      <c r="K25" s="6">
        <v>6.0851653619941874E-2</v>
      </c>
      <c r="L25" s="6">
        <v>6.9415205385101167E-2</v>
      </c>
      <c r="M25" s="6">
        <v>7.6286747199899557E-2</v>
      </c>
      <c r="N25" s="6">
        <v>5.6034507254705136E-2</v>
      </c>
    </row>
    <row r="26" spans="1:14">
      <c r="A26" s="8" t="s">
        <v>63</v>
      </c>
      <c r="B26" s="7" t="s">
        <v>64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>
      <c r="A27" s="8" t="s">
        <v>123</v>
      </c>
      <c r="B27" s="7" t="s">
        <v>124</v>
      </c>
      <c r="C27" s="6">
        <v>6.3E-3</v>
      </c>
      <c r="D27" s="6">
        <v>1.89E-2</v>
      </c>
      <c r="E27" s="6">
        <v>3.5900000000000001E-2</v>
      </c>
      <c r="F27" s="6">
        <v>5.1300000000000005E-2</v>
      </c>
      <c r="G27" s="6">
        <v>6.6600000000000006E-2</v>
      </c>
      <c r="H27" s="6">
        <v>9.1800000000000007E-2</v>
      </c>
      <c r="I27" s="6">
        <v>6.4236706415559284E-3</v>
      </c>
      <c r="J27" s="6">
        <v>1.964241991786685E-2</v>
      </c>
      <c r="K27" s="6">
        <v>3.7914148538039684E-2</v>
      </c>
      <c r="L27" s="6">
        <v>5.477112941713471E-2</v>
      </c>
      <c r="M27" s="6">
        <v>7.1902317204119978E-2</v>
      </c>
      <c r="N27" s="6">
        <v>9.9907650815073315E-2</v>
      </c>
    </row>
    <row r="28" spans="1:14">
      <c r="A28" s="8" t="s">
        <v>125</v>
      </c>
      <c r="B28" s="7" t="s">
        <v>126</v>
      </c>
      <c r="C28" s="6">
        <v>1.9900000000000001E-2</v>
      </c>
      <c r="D28" s="6">
        <v>2.7300000000000001E-2</v>
      </c>
      <c r="E28" s="6">
        <v>3.0200000000000001E-2</v>
      </c>
      <c r="F28" s="6">
        <v>3.1200000000000002E-2</v>
      </c>
      <c r="G28" s="6">
        <v>3.2000000000000001E-2</v>
      </c>
      <c r="H28" s="6">
        <v>2.7300000000000001E-2</v>
      </c>
      <c r="I28" s="6">
        <v>1.9117798560564184E-2</v>
      </c>
      <c r="J28" s="6">
        <v>2.673239827857582E-2</v>
      </c>
      <c r="K28" s="6">
        <v>3.0050789783254303E-2</v>
      </c>
      <c r="L28" s="6">
        <v>3.1385641824250382E-2</v>
      </c>
      <c r="M28" s="6">
        <v>3.2550729396327596E-2</v>
      </c>
      <c r="N28" s="6">
        <v>2.7993732093199004E-2</v>
      </c>
    </row>
    <row r="29" spans="1:14">
      <c r="A29" s="8" t="s">
        <v>127</v>
      </c>
      <c r="B29" s="7" t="s">
        <v>128</v>
      </c>
      <c r="C29" s="6">
        <v>1.0800000000000001E-2</v>
      </c>
      <c r="D29" s="6">
        <v>2.01E-2</v>
      </c>
      <c r="E29" s="6">
        <v>2.8400000000000002E-2</v>
      </c>
      <c r="F29" s="6">
        <v>3.39E-2</v>
      </c>
      <c r="G29" s="6">
        <v>3.8600000000000002E-2</v>
      </c>
      <c r="H29" s="6">
        <v>4.7400000000000005E-2</v>
      </c>
      <c r="I29" s="6">
        <v>8.4954694745152191E-3</v>
      </c>
      <c r="J29" s="6">
        <v>1.6115736458499619E-2</v>
      </c>
      <c r="K29" s="6">
        <v>2.3139081244874554E-2</v>
      </c>
      <c r="L29" s="6">
        <v>2.7922541291365052E-2</v>
      </c>
      <c r="M29" s="6">
        <v>3.2149696278245238E-2</v>
      </c>
      <c r="N29" s="6">
        <v>3.9797456804534372E-2</v>
      </c>
    </row>
    <row r="30" spans="1:14">
      <c r="A30" s="8" t="s">
        <v>35</v>
      </c>
      <c r="B30" s="7" t="s">
        <v>36</v>
      </c>
      <c r="C30" s="6">
        <v>1.4400000000000001E-2</v>
      </c>
      <c r="D30" s="6">
        <v>1.8200000000000001E-2</v>
      </c>
      <c r="E30" s="6">
        <v>1.3100000000000001E-2</v>
      </c>
      <c r="F30" s="6">
        <v>7.9000000000000008E-3</v>
      </c>
      <c r="G30" s="6">
        <v>5.0000000000000001E-3</v>
      </c>
      <c r="H30" s="6">
        <v>0</v>
      </c>
      <c r="I30" s="6">
        <v>1.4474832819808811E-2</v>
      </c>
      <c r="J30" s="6">
        <v>1.8647169709781395E-2</v>
      </c>
      <c r="K30" s="6">
        <v>1.363912478150261E-2</v>
      </c>
      <c r="L30" s="6">
        <v>8.3151439307009665E-3</v>
      </c>
      <c r="M30" s="6">
        <v>5.3216586045576929E-3</v>
      </c>
      <c r="N30" s="6">
        <v>0</v>
      </c>
    </row>
    <row r="31" spans="1:14">
      <c r="A31" s="8" t="s">
        <v>69</v>
      </c>
      <c r="B31" s="7" t="s">
        <v>70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>
      <c r="A32" s="8" t="s">
        <v>71</v>
      </c>
      <c r="B32" s="7" t="s">
        <v>72</v>
      </c>
      <c r="C32" s="6">
        <v>5.0000000000000001E-3</v>
      </c>
      <c r="D32" s="6">
        <v>7.3000000000000001E-3</v>
      </c>
      <c r="E32" s="6">
        <v>1.4700000000000001E-2</v>
      </c>
      <c r="F32" s="6">
        <v>2.01E-2</v>
      </c>
      <c r="G32" s="6">
        <v>2.3200000000000002E-2</v>
      </c>
      <c r="H32" s="6">
        <v>2.8400000000000002E-2</v>
      </c>
      <c r="I32" s="6">
        <v>4.68781061263046E-3</v>
      </c>
      <c r="J32" s="6">
        <v>6.9761110400770477E-3</v>
      </c>
      <c r="K32" s="6">
        <v>1.4275177957242801E-2</v>
      </c>
      <c r="L32" s="6">
        <v>1.9732755117581668E-2</v>
      </c>
      <c r="M32" s="6">
        <v>2.3031062822396007E-2</v>
      </c>
      <c r="N32" s="6">
        <v>2.8420501932495231E-2</v>
      </c>
    </row>
    <row r="33" spans="1:14">
      <c r="A33" s="8" t="s">
        <v>129</v>
      </c>
      <c r="B33" s="7" t="s">
        <v>130</v>
      </c>
      <c r="C33" s="6">
        <v>3.0700000000000002E-2</v>
      </c>
      <c r="D33" s="6">
        <v>5.1900000000000002E-2</v>
      </c>
      <c r="E33" s="6">
        <v>6.430000000000001E-2</v>
      </c>
      <c r="F33" s="6">
        <v>6.9500000000000006E-2</v>
      </c>
      <c r="G33" s="6">
        <v>7.3000000000000009E-2</v>
      </c>
      <c r="H33" s="6">
        <v>7.46E-2</v>
      </c>
      <c r="I33" s="6">
        <v>2.541537315223057E-2</v>
      </c>
      <c r="J33" s="6">
        <v>4.3794134102129276E-2</v>
      </c>
      <c r="K33" s="6">
        <v>5.5135742890379112E-2</v>
      </c>
      <c r="L33" s="6">
        <v>6.0246876378672529E-2</v>
      </c>
      <c r="M33" s="6">
        <v>6.3989234775807188E-2</v>
      </c>
      <c r="N33" s="6">
        <v>6.5918951752535287E-2</v>
      </c>
    </row>
    <row r="34" spans="1:14">
      <c r="A34" s="8" t="s">
        <v>131</v>
      </c>
      <c r="B34" s="7" t="s">
        <v>132</v>
      </c>
      <c r="C34" s="6">
        <v>9.8000000000000004E-2</v>
      </c>
      <c r="D34" s="6">
        <v>9.2499999999999999E-2</v>
      </c>
      <c r="E34" s="6">
        <v>7.2000000000000008E-2</v>
      </c>
      <c r="F34" s="6">
        <v>5.2900000000000003E-2</v>
      </c>
      <c r="G34" s="6">
        <v>1.67E-2</v>
      </c>
      <c r="H34" s="6">
        <v>0</v>
      </c>
      <c r="I34" s="6">
        <v>0.10611578672729129</v>
      </c>
      <c r="J34" s="6">
        <v>0.10209068699779204</v>
      </c>
      <c r="K34" s="6">
        <v>8.0751493174698097E-2</v>
      </c>
      <c r="L34" s="6">
        <v>5.9979274726455846E-2</v>
      </c>
      <c r="M34" s="6">
        <v>1.9146805923322605E-2</v>
      </c>
      <c r="N34" s="6">
        <v>0</v>
      </c>
    </row>
    <row r="35" spans="1:14">
      <c r="A35" s="8" t="s">
        <v>133</v>
      </c>
      <c r="B35" s="7" t="s">
        <v>134</v>
      </c>
      <c r="C35" s="6">
        <v>0.1144</v>
      </c>
      <c r="D35" s="6">
        <v>0.1004</v>
      </c>
      <c r="E35" s="6">
        <v>6.6500000000000004E-2</v>
      </c>
      <c r="F35" s="6">
        <v>3.4300000000000004E-2</v>
      </c>
      <c r="G35" s="6">
        <v>9.0000000000000011E-3</v>
      </c>
      <c r="H35" s="6">
        <v>0</v>
      </c>
      <c r="I35" s="6">
        <v>0.11847824061769735</v>
      </c>
      <c r="J35" s="6">
        <v>0.10598313350985313</v>
      </c>
      <c r="K35" s="6">
        <v>7.1334292768760257E-2</v>
      </c>
      <c r="L35" s="6">
        <v>3.7196177142799311E-2</v>
      </c>
      <c r="M35" s="6">
        <v>9.8691789296577164E-3</v>
      </c>
      <c r="N35" s="6">
        <v>0</v>
      </c>
    </row>
    <row r="36" spans="1:14">
      <c r="A36" s="8" t="s">
        <v>135</v>
      </c>
      <c r="B36" s="7" t="s">
        <v>136</v>
      </c>
      <c r="C36" s="6">
        <v>3.3600000000000005E-2</v>
      </c>
      <c r="D36" s="6">
        <v>4.87E-2</v>
      </c>
      <c r="E36" s="6">
        <v>6.0700000000000004E-2</v>
      </c>
      <c r="F36" s="6">
        <v>6.88E-2</v>
      </c>
      <c r="G36" s="6">
        <v>7.4999999999999997E-2</v>
      </c>
      <c r="H36" s="6">
        <v>8.5000000000000006E-2</v>
      </c>
      <c r="I36" s="6">
        <v>3.152499061355471E-2</v>
      </c>
      <c r="J36" s="6">
        <v>4.657309725494907E-2</v>
      </c>
      <c r="K36" s="6">
        <v>5.8988658849735594E-2</v>
      </c>
      <c r="L36" s="6">
        <v>6.7592069267179936E-2</v>
      </c>
      <c r="M36" s="6">
        <v>7.4507997867302014E-2</v>
      </c>
      <c r="N36" s="6">
        <v>8.5123204481498904E-2</v>
      </c>
    </row>
    <row r="37" spans="1:14">
      <c r="A37" s="8" t="s">
        <v>137</v>
      </c>
      <c r="B37" s="7" t="s">
        <v>138</v>
      </c>
      <c r="C37" s="6">
        <v>1.2100000000000001E-2</v>
      </c>
      <c r="D37" s="6">
        <v>1.72E-2</v>
      </c>
      <c r="E37" s="6">
        <v>2.0400000000000001E-2</v>
      </c>
      <c r="F37" s="6">
        <v>2.1000000000000001E-2</v>
      </c>
      <c r="G37" s="6">
        <v>2.2200000000000001E-2</v>
      </c>
      <c r="H37" s="6">
        <v>1.4500000000000001E-2</v>
      </c>
      <c r="I37" s="6">
        <v>1.2078962856082488E-2</v>
      </c>
      <c r="J37" s="6">
        <v>1.7501013242520444E-2</v>
      </c>
      <c r="K37" s="6">
        <v>2.1093011310916142E-2</v>
      </c>
      <c r="L37" s="6">
        <v>2.1951044267434289E-2</v>
      </c>
      <c r="M37" s="6">
        <v>2.3465142255595334E-2</v>
      </c>
      <c r="N37" s="6">
        <v>1.5449898399730879E-2</v>
      </c>
    </row>
    <row r="38" spans="1:14">
      <c r="A38" s="8" t="s">
        <v>139</v>
      </c>
      <c r="B38" s="7" t="s">
        <v>140</v>
      </c>
      <c r="C38" s="6">
        <v>6.9000000000000008E-3</v>
      </c>
      <c r="D38" s="6">
        <v>1.1000000000000001E-2</v>
      </c>
      <c r="E38" s="6">
        <v>1.35E-2</v>
      </c>
      <c r="F38" s="6">
        <v>1.46E-2</v>
      </c>
      <c r="G38" s="6">
        <v>1.5300000000000001E-2</v>
      </c>
      <c r="H38" s="6">
        <v>1.6199999999999999E-2</v>
      </c>
      <c r="I38" s="6">
        <v>4.8999699834557757E-3</v>
      </c>
      <c r="J38" s="6">
        <v>7.9620973835188933E-3</v>
      </c>
      <c r="K38" s="6">
        <v>9.92983975490613E-3</v>
      </c>
      <c r="L38" s="6">
        <v>1.0856474085463148E-2</v>
      </c>
      <c r="M38" s="6">
        <v>1.1504339809755957E-2</v>
      </c>
      <c r="N38" s="6">
        <v>1.2279274090256457E-2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A291-551B-4560-8034-15E7F19D4AF5}">
  <dimension ref="A1:N23"/>
  <sheetViews>
    <sheetView workbookViewId="0">
      <selection sqref="A1:B1"/>
    </sheetView>
  </sheetViews>
  <sheetFormatPr defaultRowHeight="15"/>
  <cols>
    <col min="1" max="1" width="39.7109375" bestFit="1" customWidth="1"/>
  </cols>
  <sheetData>
    <row r="1" spans="1:14">
      <c r="A1" s="18" t="s">
        <v>141</v>
      </c>
      <c r="B1" s="19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4" t="s">
        <v>13</v>
      </c>
      <c r="B2" s="14" t="s">
        <v>14</v>
      </c>
      <c r="C2" s="15">
        <v>45621</v>
      </c>
      <c r="D2" s="3">
        <v>45621</v>
      </c>
      <c r="E2" s="3">
        <v>45621</v>
      </c>
      <c r="F2" s="3">
        <v>45621</v>
      </c>
      <c r="G2" s="3">
        <v>45621</v>
      </c>
      <c r="H2" s="3">
        <v>45621</v>
      </c>
      <c r="I2" s="3">
        <v>46108</v>
      </c>
      <c r="J2" s="3">
        <v>46108</v>
      </c>
      <c r="K2" s="3">
        <v>46108</v>
      </c>
      <c r="L2" s="3">
        <v>46108</v>
      </c>
      <c r="M2" s="3">
        <v>46108</v>
      </c>
      <c r="N2" s="3">
        <v>46108</v>
      </c>
    </row>
    <row r="3" spans="1:14">
      <c r="A3" s="16" t="s">
        <v>15</v>
      </c>
      <c r="B3" s="7" t="s">
        <v>16</v>
      </c>
      <c r="C3" s="4">
        <v>0.02</v>
      </c>
      <c r="D3" s="5">
        <v>0.02</v>
      </c>
      <c r="E3" s="4">
        <v>0.02</v>
      </c>
      <c r="F3" s="4">
        <v>0.02</v>
      </c>
      <c r="G3" s="4">
        <v>0.02</v>
      </c>
      <c r="H3" s="4">
        <v>0.02</v>
      </c>
      <c r="I3" s="4">
        <v>1.9473162955481155E-2</v>
      </c>
      <c r="J3" s="4">
        <v>1.9311039485718058E-2</v>
      </c>
      <c r="K3" s="4">
        <v>1.9339163576994209E-2</v>
      </c>
      <c r="L3" s="4">
        <v>1.9390134749733851E-2</v>
      </c>
      <c r="M3" s="4">
        <v>1.9455031862279624E-2</v>
      </c>
      <c r="N3" s="4">
        <v>1.960767017175926E-2</v>
      </c>
    </row>
    <row r="4" spans="1:14">
      <c r="A4" s="8" t="s">
        <v>17</v>
      </c>
      <c r="B4" s="7" t="s">
        <v>18</v>
      </c>
      <c r="C4" s="4">
        <v>0.20280000000000001</v>
      </c>
      <c r="D4" s="4">
        <v>0.11210000000000001</v>
      </c>
      <c r="E4" s="4">
        <v>5.9000000000000004E-2</v>
      </c>
      <c r="F4" s="4">
        <v>2.41E-2</v>
      </c>
      <c r="G4" s="4">
        <v>9.0000000000000011E-3</v>
      </c>
      <c r="H4" s="4">
        <v>0</v>
      </c>
      <c r="I4" s="4">
        <v>0.19785272939117901</v>
      </c>
      <c r="J4" s="4">
        <v>0.10845482088099692</v>
      </c>
      <c r="K4" s="4">
        <v>5.7164616650938749E-2</v>
      </c>
      <c r="L4" s="4">
        <v>2.3411835649608768E-2</v>
      </c>
      <c r="M4" s="4">
        <v>8.7722712631162925E-3</v>
      </c>
      <c r="N4" s="4">
        <v>0</v>
      </c>
    </row>
    <row r="5" spans="1:14">
      <c r="A5" s="9" t="s">
        <v>142</v>
      </c>
      <c r="B5" s="7" t="s">
        <v>20</v>
      </c>
      <c r="C5" s="4">
        <v>3.9600000000000003E-2</v>
      </c>
      <c r="D5" s="4">
        <v>5.1800000000000006E-2</v>
      </c>
      <c r="E5" s="4">
        <v>2.1600000000000001E-2</v>
      </c>
      <c r="F5" s="4">
        <v>1.55E-2</v>
      </c>
      <c r="G5" s="4">
        <v>0</v>
      </c>
      <c r="H5" s="4">
        <v>0</v>
      </c>
      <c r="I5" s="4">
        <v>3.8632416678957726E-2</v>
      </c>
      <c r="J5" s="4">
        <v>5.0113600227008226E-2</v>
      </c>
      <c r="K5" s="4">
        <v>2.0927224366179289E-2</v>
      </c>
      <c r="L5" s="4">
        <v>1.5056801254926991E-2</v>
      </c>
      <c r="M5" s="4">
        <v>0</v>
      </c>
      <c r="N5" s="4">
        <v>0</v>
      </c>
    </row>
    <row r="6" spans="1:14">
      <c r="A6" s="8" t="s">
        <v>143</v>
      </c>
      <c r="B6" s="7" t="s">
        <v>22</v>
      </c>
      <c r="C6" s="4">
        <v>0.24200000000000002</v>
      </c>
      <c r="D6" s="4">
        <v>0.1144</v>
      </c>
      <c r="E6" s="4">
        <v>4.5499999999999999E-2</v>
      </c>
      <c r="F6" s="4">
        <v>1.4800000000000001E-2</v>
      </c>
      <c r="G6" s="4">
        <v>5.3E-3</v>
      </c>
      <c r="H6" s="4">
        <v>0</v>
      </c>
      <c r="I6" s="4">
        <v>0.23656023052640346</v>
      </c>
      <c r="J6" s="4">
        <v>0.11089744666463272</v>
      </c>
      <c r="K6" s="4">
        <v>4.4171175203164416E-2</v>
      </c>
      <c r="L6" s="4">
        <v>1.4405635214402034E-2</v>
      </c>
      <c r="M6" s="4">
        <v>5.176040747992626E-3</v>
      </c>
      <c r="N6" s="4">
        <v>0</v>
      </c>
    </row>
    <row r="7" spans="1:14">
      <c r="A7" s="8" t="s">
        <v>144</v>
      </c>
      <c r="B7" s="7" t="s">
        <v>24</v>
      </c>
      <c r="C7" s="4">
        <v>2.1400000000000002E-2</v>
      </c>
      <c r="D7" s="4">
        <v>5.7000000000000002E-2</v>
      </c>
      <c r="E7" s="4">
        <v>6.0400000000000002E-2</v>
      </c>
      <c r="F7" s="4">
        <v>4.6300000000000001E-2</v>
      </c>
      <c r="G7" s="4">
        <v>1.72E-2</v>
      </c>
      <c r="H7" s="4">
        <v>0</v>
      </c>
      <c r="I7" s="4">
        <v>1.9648460054465626E-2</v>
      </c>
      <c r="J7" s="4">
        <v>5.1898971853035582E-2</v>
      </c>
      <c r="K7" s="4">
        <v>5.5074792836931029E-2</v>
      </c>
      <c r="L7" s="4">
        <v>4.2329200425976009E-2</v>
      </c>
      <c r="M7" s="4">
        <v>1.5777516393543592E-2</v>
      </c>
      <c r="N7" s="4">
        <v>0</v>
      </c>
    </row>
    <row r="8" spans="1:14">
      <c r="A8" s="8" t="s">
        <v>25</v>
      </c>
      <c r="B8" s="7" t="s">
        <v>26</v>
      </c>
      <c r="C8" s="4">
        <v>3.5000000000000003E-2</v>
      </c>
      <c r="D8" s="4">
        <v>3.2600000000000004E-2</v>
      </c>
      <c r="E8" s="4">
        <v>1.9200000000000002E-2</v>
      </c>
      <c r="F8" s="4">
        <v>9.1999999999999998E-3</v>
      </c>
      <c r="G8" s="4">
        <v>0</v>
      </c>
      <c r="H8" s="4">
        <v>0</v>
      </c>
      <c r="I8" s="4">
        <v>3.3997241415720032E-2</v>
      </c>
      <c r="J8" s="4">
        <v>3.1402367271251737E-2</v>
      </c>
      <c r="K8" s="4">
        <v>1.852158087171249E-2</v>
      </c>
      <c r="L8" s="4">
        <v>8.8983153185590372E-3</v>
      </c>
      <c r="M8" s="4">
        <v>0</v>
      </c>
      <c r="N8" s="4">
        <v>0</v>
      </c>
    </row>
    <row r="9" spans="1:14">
      <c r="A9" s="8" t="s">
        <v>27</v>
      </c>
      <c r="B9" s="7" t="s">
        <v>28</v>
      </c>
      <c r="C9" s="4">
        <v>9.6000000000000009E-3</v>
      </c>
      <c r="D9" s="4">
        <v>1.7299999999999999E-2</v>
      </c>
      <c r="E9" s="4">
        <v>1.6E-2</v>
      </c>
      <c r="F9" s="4">
        <v>8.8999999999999999E-3</v>
      </c>
      <c r="G9" s="4">
        <v>0</v>
      </c>
      <c r="H9" s="4">
        <v>0</v>
      </c>
      <c r="I9" s="4">
        <v>9.2179908457475594E-3</v>
      </c>
      <c r="J9" s="4">
        <v>1.6473288194016961E-2</v>
      </c>
      <c r="K9" s="4">
        <v>1.5257599499432256E-2</v>
      </c>
      <c r="L9" s="4">
        <v>8.5094085466623851E-3</v>
      </c>
      <c r="M9" s="4">
        <v>0</v>
      </c>
      <c r="N9" s="4">
        <v>0</v>
      </c>
    </row>
    <row r="10" spans="1:14">
      <c r="A10" s="8" t="s">
        <v>29</v>
      </c>
      <c r="B10" s="7" t="s">
        <v>30</v>
      </c>
      <c r="C10" s="4">
        <v>0</v>
      </c>
      <c r="D10" s="4">
        <v>7.8000000000000005E-3</v>
      </c>
      <c r="E10" s="4">
        <v>1.5700000000000002E-2</v>
      </c>
      <c r="F10" s="4">
        <v>1.2800000000000001E-2</v>
      </c>
      <c r="G10" s="4">
        <v>6.1000000000000004E-3</v>
      </c>
      <c r="H10" s="4">
        <v>0</v>
      </c>
      <c r="I10" s="4">
        <v>0</v>
      </c>
      <c r="J10" s="4">
        <v>7.2290568844618217E-3</v>
      </c>
      <c r="K10" s="4">
        <v>1.457198538000703E-2</v>
      </c>
      <c r="L10" s="4">
        <v>1.1911657141515057E-2</v>
      </c>
      <c r="M10" s="4">
        <v>5.6956483626045013E-3</v>
      </c>
      <c r="N10" s="4">
        <v>0</v>
      </c>
    </row>
    <row r="11" spans="1:14">
      <c r="A11" s="8" t="s">
        <v>31</v>
      </c>
      <c r="B11" s="7" t="s">
        <v>32</v>
      </c>
      <c r="C11" s="6">
        <v>8.1900000000000001E-2</v>
      </c>
      <c r="D11" s="6">
        <v>3.8600000000000002E-2</v>
      </c>
      <c r="E11" s="6">
        <v>1.5800000000000002E-2</v>
      </c>
      <c r="F11" s="6">
        <v>5.7000000000000002E-3</v>
      </c>
      <c r="G11" s="6">
        <v>0</v>
      </c>
      <c r="H11" s="6">
        <v>0</v>
      </c>
      <c r="I11" s="6">
        <v>8.0504933096114895E-2</v>
      </c>
      <c r="J11" s="6">
        <v>3.76266063692271E-2</v>
      </c>
      <c r="K11" s="6">
        <v>1.5423994699255166E-2</v>
      </c>
      <c r="L11" s="6">
        <v>5.5790181768281214E-3</v>
      </c>
      <c r="M11" s="6">
        <v>0</v>
      </c>
      <c r="N11" s="6">
        <v>0</v>
      </c>
    </row>
    <row r="12" spans="1:14">
      <c r="A12" s="8" t="s">
        <v>145</v>
      </c>
      <c r="B12" s="7" t="s">
        <v>36</v>
      </c>
      <c r="C12" s="6">
        <v>2.4500000000000001E-2</v>
      </c>
      <c r="D12" s="6">
        <v>3.9900000000000005E-2</v>
      </c>
      <c r="E12" s="6">
        <v>3.1900000000000005E-2</v>
      </c>
      <c r="F12" s="6">
        <v>1.9900000000000001E-2</v>
      </c>
      <c r="G12" s="6">
        <v>7.0000000000000001E-3</v>
      </c>
      <c r="H12" s="6">
        <v>0</v>
      </c>
      <c r="I12" s="6">
        <v>3.8815456306379663E-2</v>
      </c>
      <c r="J12" s="6">
        <v>6.2687458240173591E-2</v>
      </c>
      <c r="K12" s="6">
        <v>5.0191535640361003E-2</v>
      </c>
      <c r="L12" s="6">
        <v>3.1393231099930974E-2</v>
      </c>
      <c r="M12" s="6">
        <v>1.1079804562910491E-2</v>
      </c>
      <c r="N12" s="6">
        <v>0</v>
      </c>
    </row>
    <row r="13" spans="1:14">
      <c r="A13" s="8" t="s">
        <v>37</v>
      </c>
      <c r="B13" s="7" t="s">
        <v>38</v>
      </c>
      <c r="C13" s="6">
        <v>9.3100000000000002E-2</v>
      </c>
      <c r="D13" s="6">
        <v>7.1199999999999999E-2</v>
      </c>
      <c r="E13" s="6">
        <v>5.9200000000000003E-2</v>
      </c>
      <c r="F13" s="6">
        <v>4.5999999999999999E-2</v>
      </c>
      <c r="G13" s="6">
        <v>1.6900000000000002E-2</v>
      </c>
      <c r="H13" s="6">
        <v>0</v>
      </c>
      <c r="I13" s="6">
        <v>9.2244899052365631E-2</v>
      </c>
      <c r="J13" s="6">
        <v>6.9958715409886948E-2</v>
      </c>
      <c r="K13" s="6">
        <v>5.825263491150616E-2</v>
      </c>
      <c r="L13" s="6">
        <v>4.5383171225875922E-2</v>
      </c>
      <c r="M13" s="6">
        <v>1.6729186848556066E-2</v>
      </c>
      <c r="N13" s="6">
        <v>0</v>
      </c>
    </row>
    <row r="14" spans="1:14">
      <c r="A14" s="8" t="s">
        <v>39</v>
      </c>
      <c r="B14" s="7" t="s">
        <v>40</v>
      </c>
      <c r="C14" s="6">
        <v>1.0200000000000001E-2</v>
      </c>
      <c r="D14" s="6">
        <v>1.32E-2</v>
      </c>
      <c r="E14" s="6">
        <v>1.5300000000000001E-2</v>
      </c>
      <c r="F14" s="6">
        <v>1.2E-2</v>
      </c>
      <c r="G14" s="6">
        <v>1.18E-2</v>
      </c>
      <c r="H14" s="6">
        <v>0</v>
      </c>
      <c r="I14" s="6">
        <v>9.9464406481648594E-3</v>
      </c>
      <c r="J14" s="6">
        <v>1.2764699891725084E-2</v>
      </c>
      <c r="K14" s="6">
        <v>1.4816995303496523E-2</v>
      </c>
      <c r="L14" s="6">
        <v>1.1651802074781389E-2</v>
      </c>
      <c r="M14" s="6">
        <v>1.1495952992828476E-2</v>
      </c>
      <c r="N14" s="6">
        <v>0</v>
      </c>
    </row>
    <row r="15" spans="1:14">
      <c r="A15" s="8" t="s">
        <v>41</v>
      </c>
      <c r="B15" s="7" t="s">
        <v>74</v>
      </c>
      <c r="C15" s="6">
        <v>0</v>
      </c>
      <c r="D15" s="6">
        <v>8.0999999999999996E-3</v>
      </c>
      <c r="E15" s="6">
        <v>1.2100000000000001E-2</v>
      </c>
      <c r="F15" s="6">
        <v>1.1000000000000001E-2</v>
      </c>
      <c r="G15" s="6">
        <v>5.3E-3</v>
      </c>
      <c r="H15" s="6">
        <v>0</v>
      </c>
      <c r="I15" s="6">
        <v>0</v>
      </c>
      <c r="J15" s="6">
        <v>8.0732451980364481E-3</v>
      </c>
      <c r="K15" s="6">
        <v>1.2077596865743275E-2</v>
      </c>
      <c r="L15" s="6">
        <v>1.1008571932162866E-2</v>
      </c>
      <c r="M15" s="6">
        <v>5.3218825798527014E-3</v>
      </c>
      <c r="N15" s="6">
        <v>0</v>
      </c>
    </row>
    <row r="16" spans="1:14">
      <c r="A16" s="8" t="s">
        <v>146</v>
      </c>
      <c r="B16" s="7" t="s">
        <v>147</v>
      </c>
      <c r="C16" s="6">
        <v>7.1000000000000004E-3</v>
      </c>
      <c r="D16" s="6">
        <v>4.58E-2</v>
      </c>
      <c r="E16" s="6">
        <v>0.1192</v>
      </c>
      <c r="F16" s="6">
        <v>0.17700000000000002</v>
      </c>
      <c r="G16" s="6">
        <v>0.22290000000000001</v>
      </c>
      <c r="H16" s="6">
        <v>0.2487</v>
      </c>
      <c r="I16" s="6">
        <v>7.086468860551037E-3</v>
      </c>
      <c r="J16" s="6">
        <v>4.5332134233913614E-2</v>
      </c>
      <c r="K16" s="6">
        <v>0.11815414951915414</v>
      </c>
      <c r="L16" s="6">
        <v>0.17590943340367388</v>
      </c>
      <c r="M16" s="6">
        <v>0.2222680560095274</v>
      </c>
      <c r="N16" s="6">
        <v>0.24994060364146864</v>
      </c>
    </row>
    <row r="17" spans="1:14">
      <c r="A17" s="8" t="s">
        <v>148</v>
      </c>
      <c r="B17" s="7" t="s">
        <v>149</v>
      </c>
      <c r="C17" s="6">
        <v>2.4900000000000002E-2</v>
      </c>
      <c r="D17" s="6">
        <v>5.3900000000000003E-2</v>
      </c>
      <c r="E17" s="6">
        <v>9.1600000000000001E-2</v>
      </c>
      <c r="F17" s="6">
        <v>0.12350000000000001</v>
      </c>
      <c r="G17" s="6">
        <v>0.15060000000000001</v>
      </c>
      <c r="H17" s="6">
        <v>0.1406</v>
      </c>
      <c r="I17" s="6">
        <v>2.3642148280171804E-2</v>
      </c>
      <c r="J17" s="6">
        <v>5.0751105713856506E-2</v>
      </c>
      <c r="K17" s="6">
        <v>8.6374242590272779E-2</v>
      </c>
      <c r="L17" s="6">
        <v>0.1167612878148854</v>
      </c>
      <c r="M17" s="6">
        <v>0.14285913292645064</v>
      </c>
      <c r="N17" s="6">
        <v>0.13441954009416748</v>
      </c>
    </row>
    <row r="18" spans="1:14">
      <c r="A18" s="8" t="s">
        <v>150</v>
      </c>
      <c r="B18" s="7" t="s">
        <v>151</v>
      </c>
      <c r="C18" s="6">
        <v>2.1400000000000002E-2</v>
      </c>
      <c r="D18" s="6">
        <v>5.2000000000000005E-2</v>
      </c>
      <c r="E18" s="6">
        <v>8.7400000000000005E-2</v>
      </c>
      <c r="F18" s="6">
        <v>0.12300000000000001</v>
      </c>
      <c r="G18" s="6">
        <v>0.1822</v>
      </c>
      <c r="H18" s="6">
        <v>0.2495</v>
      </c>
      <c r="I18" s="6">
        <v>2.2106237818152109E-2</v>
      </c>
      <c r="J18" s="6">
        <v>5.3268879532619884E-2</v>
      </c>
      <c r="K18" s="6">
        <v>8.9663086742133261E-2</v>
      </c>
      <c r="L18" s="6">
        <v>0.12651747184343681</v>
      </c>
      <c r="M18" s="6">
        <v>0.18803768049759151</v>
      </c>
      <c r="N18" s="6">
        <v>0.25951418971464557</v>
      </c>
    </row>
    <row r="19" spans="1:14">
      <c r="A19" s="8" t="s">
        <v>152</v>
      </c>
      <c r="B19" s="7" t="s">
        <v>153</v>
      </c>
      <c r="C19" s="6">
        <v>1.1600000000000001E-2</v>
      </c>
      <c r="D19" s="6">
        <v>3.7700000000000004E-2</v>
      </c>
      <c r="E19" s="6">
        <v>6.2600000000000003E-2</v>
      </c>
      <c r="F19" s="6">
        <v>8.2600000000000007E-2</v>
      </c>
      <c r="G19" s="6">
        <v>0.1168</v>
      </c>
      <c r="H19" s="6">
        <v>0.17810000000000001</v>
      </c>
      <c r="I19" s="6">
        <v>1.0716130150079137E-2</v>
      </c>
      <c r="J19" s="6">
        <v>3.4537467900820844E-2</v>
      </c>
      <c r="K19" s="6">
        <v>5.7432207875914527E-2</v>
      </c>
      <c r="L19" s="6">
        <v>7.5980888315770545E-2</v>
      </c>
      <c r="M19" s="6">
        <v>0.10779988099188388</v>
      </c>
      <c r="N19" s="6">
        <v>0.16566600694634542</v>
      </c>
    </row>
    <row r="20" spans="1:14">
      <c r="A20" s="8" t="s">
        <v>51</v>
      </c>
      <c r="B20" s="7" t="s">
        <v>52</v>
      </c>
      <c r="C20" s="6">
        <v>3.6500000000000005E-2</v>
      </c>
      <c r="D20" s="6">
        <v>6.430000000000001E-2</v>
      </c>
      <c r="E20" s="6">
        <v>5.1400000000000001E-2</v>
      </c>
      <c r="F20" s="6">
        <v>3.3600000000000005E-2</v>
      </c>
      <c r="G20" s="6">
        <v>1.23E-2</v>
      </c>
      <c r="H20" s="6">
        <v>5.2000000000000006E-3</v>
      </c>
      <c r="I20" s="6">
        <v>3.3476965751289778E-2</v>
      </c>
      <c r="J20" s="6">
        <v>5.8483499286684455E-2</v>
      </c>
      <c r="K20" s="6">
        <v>4.6818503863214317E-2</v>
      </c>
      <c r="L20" s="6">
        <v>3.0685756181963366E-2</v>
      </c>
      <c r="M20" s="6">
        <v>1.1270775084527316E-2</v>
      </c>
      <c r="N20" s="6">
        <v>4.8022643383357905E-3</v>
      </c>
    </row>
    <row r="21" spans="1:14">
      <c r="A21" s="8" t="s">
        <v>75</v>
      </c>
      <c r="B21" s="7" t="s">
        <v>76</v>
      </c>
      <c r="C21" s="6">
        <v>4.0300000000000002E-2</v>
      </c>
      <c r="D21" s="6">
        <v>6.4899999999999999E-2</v>
      </c>
      <c r="E21" s="6">
        <v>7.5600000000000001E-2</v>
      </c>
      <c r="F21" s="6">
        <v>7.9700000000000007E-2</v>
      </c>
      <c r="G21" s="6">
        <v>7.6499999999999999E-2</v>
      </c>
      <c r="H21" s="6">
        <v>4.9000000000000002E-2</v>
      </c>
      <c r="I21" s="6">
        <v>4.1926648775638148E-2</v>
      </c>
      <c r="J21" s="6">
        <v>6.6957457563812356E-2</v>
      </c>
      <c r="K21" s="6">
        <v>7.8110260897010494E-2</v>
      </c>
      <c r="L21" s="6">
        <v>8.256343527319504E-2</v>
      </c>
      <c r="M21" s="6">
        <v>7.9513704529289853E-2</v>
      </c>
      <c r="N21" s="6">
        <v>5.1329930823991801E-2</v>
      </c>
    </row>
    <row r="22" spans="1:14">
      <c r="A22" s="8" t="s">
        <v>69</v>
      </c>
      <c r="B22" s="7" t="s">
        <v>70</v>
      </c>
      <c r="C22" s="6">
        <v>1.6400000000000001E-2</v>
      </c>
      <c r="D22" s="6">
        <v>2.1600000000000001E-2</v>
      </c>
      <c r="E22" s="6">
        <v>3.0300000000000001E-2</v>
      </c>
      <c r="F22" s="6">
        <v>3.4200000000000001E-2</v>
      </c>
      <c r="G22" s="6">
        <v>3.7400000000000003E-2</v>
      </c>
      <c r="H22" s="6">
        <v>3.6000000000000004E-2</v>
      </c>
      <c r="I22" s="6">
        <v>1.4311309771865441E-2</v>
      </c>
      <c r="J22" s="6">
        <v>1.8692114775485651E-2</v>
      </c>
      <c r="K22" s="6">
        <v>2.625907063314168E-2</v>
      </c>
      <c r="L22" s="6">
        <v>2.9717068769230894E-2</v>
      </c>
      <c r="M22" s="6">
        <v>3.2606379930587036E-2</v>
      </c>
      <c r="N22" s="6">
        <v>3.1632063929154013E-2</v>
      </c>
    </row>
    <row r="23" spans="1:14">
      <c r="A23" s="8" t="s">
        <v>154</v>
      </c>
      <c r="B23" s="7" t="s">
        <v>155</v>
      </c>
      <c r="C23" s="6">
        <v>6.1700000000000005E-2</v>
      </c>
      <c r="D23" s="6">
        <v>7.5800000000000006E-2</v>
      </c>
      <c r="E23" s="6">
        <v>9.0200000000000002E-2</v>
      </c>
      <c r="F23" s="6">
        <v>0.10020000000000001</v>
      </c>
      <c r="G23" s="6">
        <v>0.1027</v>
      </c>
      <c r="H23" s="6">
        <v>7.2900000000000006E-2</v>
      </c>
      <c r="I23" s="6">
        <v>6.9840129621273339E-2</v>
      </c>
      <c r="J23" s="6">
        <v>8.5086024422635451E-2</v>
      </c>
      <c r="K23" s="6">
        <v>0.10139758207343723</v>
      </c>
      <c r="L23" s="6">
        <v>0.11293587558688063</v>
      </c>
      <c r="M23" s="6">
        <v>0.116141054416458</v>
      </c>
      <c r="N23" s="6">
        <v>8.3087730340132143E-2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1E1E-D914-448A-8DBB-4ECE0E6F1BE0}">
  <dimension ref="A1:N31"/>
  <sheetViews>
    <sheetView workbookViewId="0">
      <selection sqref="A1:B1"/>
    </sheetView>
  </sheetViews>
  <sheetFormatPr defaultRowHeight="15"/>
  <cols>
    <col min="1" max="1" width="42.7109375" bestFit="1" customWidth="1"/>
  </cols>
  <sheetData>
    <row r="1" spans="1:14">
      <c r="A1" s="18" t="s">
        <v>0</v>
      </c>
      <c r="B1" s="19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4" t="s">
        <v>13</v>
      </c>
      <c r="B2" s="14" t="s">
        <v>14</v>
      </c>
      <c r="C2" s="15">
        <v>45996</v>
      </c>
      <c r="D2" s="3">
        <v>45996</v>
      </c>
      <c r="E2" s="3">
        <v>45996</v>
      </c>
      <c r="F2" s="3">
        <v>45996</v>
      </c>
      <c r="G2" s="3">
        <v>45996</v>
      </c>
      <c r="H2" s="3">
        <v>45996</v>
      </c>
      <c r="I2" s="3">
        <v>46108</v>
      </c>
      <c r="J2" s="3">
        <v>46108</v>
      </c>
      <c r="K2" s="3">
        <v>46108</v>
      </c>
      <c r="L2" s="3">
        <v>46108</v>
      </c>
      <c r="M2" s="3">
        <v>46108</v>
      </c>
      <c r="N2" s="3">
        <v>46108</v>
      </c>
    </row>
    <row r="3" spans="1:14">
      <c r="A3" s="16" t="s">
        <v>15</v>
      </c>
      <c r="B3" s="7" t="s">
        <v>16</v>
      </c>
      <c r="C3" s="4">
        <v>0.02</v>
      </c>
      <c r="D3" s="5">
        <v>0.02</v>
      </c>
      <c r="E3" s="4">
        <v>0.02</v>
      </c>
      <c r="F3" s="4">
        <v>0.02</v>
      </c>
      <c r="G3" s="4">
        <v>0.02</v>
      </c>
      <c r="H3" s="4">
        <v>0.02</v>
      </c>
      <c r="I3" s="4">
        <v>2.0282103175399364E-2</v>
      </c>
      <c r="J3" s="4">
        <v>2.0385292606725641E-2</v>
      </c>
      <c r="K3" s="4">
        <v>2.0542587500169872E-2</v>
      </c>
      <c r="L3" s="4">
        <v>2.0670858989192065E-2</v>
      </c>
      <c r="M3" s="4">
        <v>2.0797275876714705E-2</v>
      </c>
      <c r="N3" s="4">
        <v>2.0882263685628673E-2</v>
      </c>
    </row>
    <row r="4" spans="1:14">
      <c r="A4" s="8" t="s">
        <v>17</v>
      </c>
      <c r="B4" s="7" t="s">
        <v>18</v>
      </c>
      <c r="C4" s="4">
        <v>0.18959999999999999</v>
      </c>
      <c r="D4" s="4">
        <v>9.7699999999999995E-2</v>
      </c>
      <c r="E4" s="4">
        <v>4.0300000000000002E-2</v>
      </c>
      <c r="F4" s="4">
        <v>1.7999999999999999E-2</v>
      </c>
      <c r="G4" s="4">
        <v>0</v>
      </c>
      <c r="H4" s="4">
        <v>0</v>
      </c>
      <c r="I4" s="4">
        <v>0.19245630178545445</v>
      </c>
      <c r="J4" s="4">
        <v>9.9676396474185386E-2</v>
      </c>
      <c r="K4" s="4">
        <v>4.1432487422246228E-2</v>
      </c>
      <c r="L4" s="4">
        <v>1.8621379241444341E-2</v>
      </c>
      <c r="M4" s="4">
        <v>0</v>
      </c>
      <c r="N4" s="4">
        <v>0</v>
      </c>
    </row>
    <row r="5" spans="1:14">
      <c r="A5" s="9" t="s">
        <v>19</v>
      </c>
      <c r="B5" s="7" t="s">
        <v>20</v>
      </c>
      <c r="C5" s="4">
        <v>4.53E-2</v>
      </c>
      <c r="D5" s="4">
        <v>2.7E-2</v>
      </c>
      <c r="E5" s="4">
        <v>1.2699999999999999E-2</v>
      </c>
      <c r="F5" s="4">
        <v>0</v>
      </c>
      <c r="G5" s="4">
        <v>8.6E-3</v>
      </c>
      <c r="H5" s="4">
        <v>0</v>
      </c>
      <c r="I5" s="4">
        <v>4.5630147690313066E-2</v>
      </c>
      <c r="J5" s="4">
        <v>2.733514604489164E-2</v>
      </c>
      <c r="K5" s="4">
        <v>1.2956853587001537E-2</v>
      </c>
      <c r="L5" s="4">
        <v>0</v>
      </c>
      <c r="M5" s="4">
        <v>8.8827121515405363E-3</v>
      </c>
      <c r="N5" s="4">
        <v>0</v>
      </c>
    </row>
    <row r="6" spans="1:14">
      <c r="A6" s="8" t="s">
        <v>21</v>
      </c>
      <c r="B6" s="7" t="s">
        <v>22</v>
      </c>
      <c r="C6" s="4">
        <v>0.18509999999999999</v>
      </c>
      <c r="D6" s="4">
        <v>7.9699999999999993E-2</v>
      </c>
      <c r="E6" s="4">
        <v>2.7300000000000001E-2</v>
      </c>
      <c r="F6" s="4">
        <v>8.6E-3</v>
      </c>
      <c r="G6" s="4">
        <v>0</v>
      </c>
      <c r="H6" s="4">
        <v>0</v>
      </c>
      <c r="I6" s="4">
        <v>0.18476589451969958</v>
      </c>
      <c r="J6" s="4">
        <v>7.9960899976072003E-2</v>
      </c>
      <c r="K6" s="4">
        <v>2.7600706256162122E-2</v>
      </c>
      <c r="L6" s="4">
        <v>8.7490193717737023E-3</v>
      </c>
      <c r="M6" s="4">
        <v>0</v>
      </c>
      <c r="N6" s="4">
        <v>0</v>
      </c>
    </row>
    <row r="7" spans="1:14">
      <c r="A7" s="8" t="s">
        <v>23</v>
      </c>
      <c r="B7" s="7" t="s">
        <v>24</v>
      </c>
      <c r="C7" s="4">
        <v>2.7400000000000001E-2</v>
      </c>
      <c r="D7" s="4">
        <v>6.3500000000000001E-2</v>
      </c>
      <c r="E7" s="4">
        <v>6.1199999999999997E-2</v>
      </c>
      <c r="F7" s="4">
        <v>4.3400000000000001E-2</v>
      </c>
      <c r="G7" s="4">
        <v>1.4200000000000001E-2</v>
      </c>
      <c r="H7" s="4">
        <v>0</v>
      </c>
      <c r="I7" s="4">
        <v>2.7056158332610936E-2</v>
      </c>
      <c r="J7" s="4">
        <v>6.3022155971109342E-2</v>
      </c>
      <c r="K7" s="4">
        <v>6.1208135296271012E-2</v>
      </c>
      <c r="L7" s="4">
        <v>4.3676802319498546E-2</v>
      </c>
      <c r="M7" s="4">
        <v>1.4377963555683161E-2</v>
      </c>
      <c r="N7" s="4">
        <v>0</v>
      </c>
    </row>
    <row r="8" spans="1:14">
      <c r="A8" s="8" t="s">
        <v>25</v>
      </c>
      <c r="B8" s="7" t="s">
        <v>26</v>
      </c>
      <c r="C8" s="4">
        <v>6.8199999999999997E-2</v>
      </c>
      <c r="D8" s="4">
        <v>4.8399999999999999E-2</v>
      </c>
      <c r="E8" s="4">
        <v>2.3099999999999999E-2</v>
      </c>
      <c r="F8" s="4">
        <v>1.0800000000000001E-2</v>
      </c>
      <c r="G8" s="4">
        <v>0</v>
      </c>
      <c r="H8" s="4">
        <v>0</v>
      </c>
      <c r="I8" s="4">
        <v>6.8149139675520595E-2</v>
      </c>
      <c r="J8" s="4">
        <v>4.8609967035875841E-2</v>
      </c>
      <c r="K8" s="4">
        <v>2.3379226620596841E-2</v>
      </c>
      <c r="L8" s="4">
        <v>1.099879975057654E-2</v>
      </c>
      <c r="M8" s="4">
        <v>0</v>
      </c>
      <c r="N8" s="4">
        <v>0</v>
      </c>
    </row>
    <row r="9" spans="1:14">
      <c r="A9" s="8" t="s">
        <v>27</v>
      </c>
      <c r="B9" s="7" t="s">
        <v>28</v>
      </c>
      <c r="C9" s="4">
        <v>1.5900000000000001E-2</v>
      </c>
      <c r="D9" s="4">
        <v>2.2499999999999999E-2</v>
      </c>
      <c r="E9" s="4">
        <v>1.54E-2</v>
      </c>
      <c r="F9" s="4">
        <v>8.6E-3</v>
      </c>
      <c r="G9" s="4">
        <v>0</v>
      </c>
      <c r="H9" s="4">
        <v>0</v>
      </c>
      <c r="I9" s="4">
        <v>1.5656566795946084E-2</v>
      </c>
      <c r="J9" s="4">
        <v>2.2268239876307456E-2</v>
      </c>
      <c r="K9" s="4">
        <v>1.5358976982665039E-2</v>
      </c>
      <c r="L9" s="4">
        <v>8.6306478904231293E-3</v>
      </c>
      <c r="M9" s="4">
        <v>0</v>
      </c>
      <c r="N9" s="4">
        <v>0</v>
      </c>
    </row>
    <row r="10" spans="1:14">
      <c r="A10" s="8" t="s">
        <v>29</v>
      </c>
      <c r="B10" s="7" t="s">
        <v>30</v>
      </c>
      <c r="C10" s="4">
        <v>0</v>
      </c>
      <c r="D10" s="4">
        <v>9.1000000000000004E-3</v>
      </c>
      <c r="E10" s="4">
        <v>0.02</v>
      </c>
      <c r="F10" s="4">
        <v>1.4200000000000001E-2</v>
      </c>
      <c r="G10" s="4">
        <v>7.1000000000000004E-3</v>
      </c>
      <c r="H10" s="4">
        <v>0</v>
      </c>
      <c r="I10" s="4">
        <v>0</v>
      </c>
      <c r="J10" s="4">
        <v>8.9029786195445239E-3</v>
      </c>
      <c r="K10" s="4">
        <v>1.9717966737202167E-2</v>
      </c>
      <c r="L10" s="4">
        <v>1.4087173297043992E-2</v>
      </c>
      <c r="M10" s="4">
        <v>7.0866631506435445E-3</v>
      </c>
      <c r="N10" s="4">
        <v>0</v>
      </c>
    </row>
    <row r="11" spans="1:14">
      <c r="A11" s="8" t="s">
        <v>31</v>
      </c>
      <c r="B11" s="7" t="s">
        <v>32</v>
      </c>
      <c r="C11" s="6">
        <v>5.5500000000000001E-2</v>
      </c>
      <c r="D11" s="6">
        <v>2.8400000000000002E-2</v>
      </c>
      <c r="E11" s="6">
        <v>8.6E-3</v>
      </c>
      <c r="F11" s="6">
        <v>5.3E-3</v>
      </c>
      <c r="G11" s="6">
        <v>0</v>
      </c>
      <c r="H11" s="6">
        <v>0</v>
      </c>
      <c r="I11" s="6">
        <v>5.5654122548816368E-2</v>
      </c>
      <c r="J11" s="6">
        <v>2.8623758487135432E-2</v>
      </c>
      <c r="K11" s="6">
        <v>8.7346391113792641E-3</v>
      </c>
      <c r="L11" s="6">
        <v>5.4165875000599844E-3</v>
      </c>
      <c r="M11" s="6">
        <v>0</v>
      </c>
      <c r="N11" s="6">
        <v>0</v>
      </c>
    </row>
    <row r="12" spans="1:14">
      <c r="A12" s="8" t="s">
        <v>33</v>
      </c>
      <c r="B12" s="7" t="s">
        <v>34</v>
      </c>
      <c r="C12" s="6">
        <v>0</v>
      </c>
      <c r="D12" s="6">
        <v>5.0000000000000001E-3</v>
      </c>
      <c r="E12" s="6">
        <v>5.1999999999999998E-3</v>
      </c>
      <c r="F12" s="6">
        <v>5.0000000000000001E-3</v>
      </c>
      <c r="G12" s="6">
        <v>0</v>
      </c>
      <c r="H12" s="6">
        <v>0</v>
      </c>
      <c r="I12" s="6">
        <v>0</v>
      </c>
      <c r="J12" s="6">
        <v>4.8946608741478699E-3</v>
      </c>
      <c r="K12" s="6">
        <v>5.129725693904119E-3</v>
      </c>
      <c r="L12" s="6">
        <v>4.963227493533515E-3</v>
      </c>
      <c r="M12" s="6">
        <v>0</v>
      </c>
      <c r="N12" s="6">
        <v>0</v>
      </c>
    </row>
    <row r="13" spans="1:14">
      <c r="A13" s="8" t="s">
        <v>35</v>
      </c>
      <c r="B13" s="7" t="s">
        <v>36</v>
      </c>
      <c r="C13" s="6">
        <v>1.9099999999999999E-2</v>
      </c>
      <c r="D13" s="6">
        <v>3.0800000000000001E-2</v>
      </c>
      <c r="E13" s="6">
        <v>2.4500000000000001E-2</v>
      </c>
      <c r="F13" s="6">
        <v>1.5100000000000001E-2</v>
      </c>
      <c r="G13" s="6">
        <v>5.4999999999999997E-3</v>
      </c>
      <c r="H13" s="6">
        <v>0</v>
      </c>
      <c r="I13" s="6">
        <v>2.0576899437381561E-2</v>
      </c>
      <c r="J13" s="6">
        <v>3.3350415295851338E-2</v>
      </c>
      <c r="K13" s="6">
        <v>2.6733437764497863E-2</v>
      </c>
      <c r="L13" s="6">
        <v>1.6579409248520038E-2</v>
      </c>
      <c r="M13" s="6">
        <v>6.0757895488302589E-3</v>
      </c>
      <c r="N13" s="6">
        <v>0</v>
      </c>
    </row>
    <row r="14" spans="1:14">
      <c r="A14" s="8" t="s">
        <v>37</v>
      </c>
      <c r="B14" s="7" t="s">
        <v>38</v>
      </c>
      <c r="C14" s="6">
        <v>9.8699999999999996E-2</v>
      </c>
      <c r="D14" s="6">
        <v>7.4800000000000005E-2</v>
      </c>
      <c r="E14" s="6">
        <v>5.79E-2</v>
      </c>
      <c r="F14" s="6">
        <v>4.2000000000000003E-2</v>
      </c>
      <c r="G14" s="6">
        <v>1.54E-2</v>
      </c>
      <c r="H14" s="6">
        <v>0</v>
      </c>
      <c r="I14" s="6">
        <v>9.8379222847284425E-2</v>
      </c>
      <c r="J14" s="6">
        <v>7.4936222143691708E-2</v>
      </c>
      <c r="K14" s="6">
        <v>5.8453020313642197E-2</v>
      </c>
      <c r="L14" s="6">
        <v>4.2665914815388936E-2</v>
      </c>
      <c r="M14" s="6">
        <v>1.5739843895750432E-2</v>
      </c>
      <c r="N14" s="6">
        <v>0</v>
      </c>
    </row>
    <row r="15" spans="1:14">
      <c r="A15" s="8" t="s">
        <v>39</v>
      </c>
      <c r="B15" s="7" t="s">
        <v>40</v>
      </c>
      <c r="C15" s="6">
        <v>2.9499999999999998E-2</v>
      </c>
      <c r="D15" s="6">
        <v>3.7199999999999997E-2</v>
      </c>
      <c r="E15" s="6">
        <v>3.4000000000000002E-2</v>
      </c>
      <c r="F15" s="6">
        <v>2.6700000000000002E-2</v>
      </c>
      <c r="G15" s="6">
        <v>1.43E-2</v>
      </c>
      <c r="H15" s="6">
        <v>0</v>
      </c>
      <c r="I15" s="6">
        <v>2.8951751572910283E-2</v>
      </c>
      <c r="J15" s="6">
        <v>3.6694394811863984E-2</v>
      </c>
      <c r="K15" s="6">
        <v>3.3796669323414866E-2</v>
      </c>
      <c r="L15" s="6">
        <v>2.6706048024654993E-2</v>
      </c>
      <c r="M15" s="6">
        <v>1.4390713603931732E-2</v>
      </c>
      <c r="N15" s="6">
        <v>0</v>
      </c>
    </row>
    <row r="16" spans="1:14">
      <c r="A16" s="8" t="s">
        <v>41</v>
      </c>
      <c r="B16" s="7" t="s">
        <v>42</v>
      </c>
      <c r="C16" s="6">
        <v>2.9399999999999999E-2</v>
      </c>
      <c r="D16" s="6">
        <v>3.8600000000000002E-2</v>
      </c>
      <c r="E16" s="6">
        <v>3.5200000000000002E-2</v>
      </c>
      <c r="F16" s="6">
        <v>2.2700000000000001E-2</v>
      </c>
      <c r="G16" s="6">
        <v>9.2999999999999992E-3</v>
      </c>
      <c r="H16" s="6">
        <v>0</v>
      </c>
      <c r="I16" s="6">
        <v>2.9493008395104353E-2</v>
      </c>
      <c r="J16" s="6">
        <v>3.8919119891697961E-2</v>
      </c>
      <c r="K16" s="6">
        <v>3.5764862965386043E-2</v>
      </c>
      <c r="L16" s="6">
        <v>2.3208289751945072E-2</v>
      </c>
      <c r="M16" s="6">
        <v>9.5663916659032081E-3</v>
      </c>
      <c r="N16" s="6">
        <v>0</v>
      </c>
    </row>
    <row r="17" spans="1:14">
      <c r="A17" s="8" t="s">
        <v>156</v>
      </c>
      <c r="B17" s="7" t="s">
        <v>157</v>
      </c>
      <c r="C17" s="6">
        <v>2.52E-2</v>
      </c>
      <c r="D17" s="6">
        <v>6.2700000000000006E-2</v>
      </c>
      <c r="E17" s="6">
        <v>0.1183</v>
      </c>
      <c r="F17" s="6">
        <v>0.1661</v>
      </c>
      <c r="G17" s="6">
        <v>0.21510000000000001</v>
      </c>
      <c r="H17" s="6">
        <v>0.2273</v>
      </c>
      <c r="I17" s="6">
        <v>2.5447512207528993E-2</v>
      </c>
      <c r="J17" s="6">
        <v>6.3637966459595185E-2</v>
      </c>
      <c r="K17" s="6">
        <v>0.12099618940624172</v>
      </c>
      <c r="L17" s="6">
        <v>0.17094640016872023</v>
      </c>
      <c r="M17" s="6">
        <v>0.22272997387300278</v>
      </c>
      <c r="N17" s="6">
        <v>0.23632453611087906</v>
      </c>
    </row>
    <row r="18" spans="1:14">
      <c r="A18" s="8" t="s">
        <v>158</v>
      </c>
      <c r="B18" s="7" t="s">
        <v>159</v>
      </c>
      <c r="C18" s="6">
        <v>2.6200000000000001E-2</v>
      </c>
      <c r="D18" s="6">
        <v>6.1699999999999998E-2</v>
      </c>
      <c r="E18" s="6">
        <v>0.1134</v>
      </c>
      <c r="F18" s="6">
        <v>0.15690000000000001</v>
      </c>
      <c r="G18" s="6">
        <v>0.2049</v>
      </c>
      <c r="H18" s="6">
        <v>0.2258</v>
      </c>
      <c r="I18" s="6">
        <v>2.2683403554881118E-2</v>
      </c>
      <c r="J18" s="6">
        <v>5.3690327608660791E-2</v>
      </c>
      <c r="K18" s="6">
        <v>9.9440234633617314E-2</v>
      </c>
      <c r="L18" s="6">
        <v>0.13844440471360217</v>
      </c>
      <c r="M18" s="6">
        <v>0.18190404287367293</v>
      </c>
      <c r="N18" s="6">
        <v>0.20127760369040046</v>
      </c>
    </row>
    <row r="19" spans="1:14">
      <c r="A19" s="8" t="s">
        <v>160</v>
      </c>
      <c r="B19" s="7" t="s">
        <v>161</v>
      </c>
      <c r="C19" s="6">
        <v>1.6199999999999999E-2</v>
      </c>
      <c r="D19" s="6">
        <v>2.9499999999999998E-2</v>
      </c>
      <c r="E19" s="6">
        <v>3.49E-2</v>
      </c>
      <c r="F19" s="6">
        <v>3.8100000000000002E-2</v>
      </c>
      <c r="G19" s="6">
        <v>4.19E-2</v>
      </c>
      <c r="H19" s="6">
        <v>4.7100000000000003E-2</v>
      </c>
      <c r="I19" s="6">
        <v>1.6632275789292553E-2</v>
      </c>
      <c r="J19" s="6">
        <v>3.0441261165979668E-2</v>
      </c>
      <c r="K19" s="6">
        <v>3.6291443938005701E-2</v>
      </c>
      <c r="L19" s="6">
        <v>3.986641428008917E-2</v>
      </c>
      <c r="M19" s="6">
        <v>4.4110720467043223E-2</v>
      </c>
      <c r="N19" s="6">
        <v>4.9787710776997625E-2</v>
      </c>
    </row>
    <row r="20" spans="1:14">
      <c r="A20" s="8" t="s">
        <v>162</v>
      </c>
      <c r="B20" s="7" t="s">
        <v>163</v>
      </c>
      <c r="C20" s="6">
        <v>1.15E-2</v>
      </c>
      <c r="D20" s="6">
        <v>2.24E-2</v>
      </c>
      <c r="E20" s="6">
        <v>3.0300000000000001E-2</v>
      </c>
      <c r="F20" s="6">
        <v>3.7999999999999999E-2</v>
      </c>
      <c r="G20" s="6">
        <v>4.4499999999999998E-2</v>
      </c>
      <c r="H20" s="6">
        <v>5.8900000000000001E-2</v>
      </c>
      <c r="I20" s="6">
        <v>1.0734892218376616E-2</v>
      </c>
      <c r="J20" s="6">
        <v>2.101608558051677E-2</v>
      </c>
      <c r="K20" s="6">
        <v>2.8647361889756841E-2</v>
      </c>
      <c r="L20" s="6">
        <v>3.61517213856523E-2</v>
      </c>
      <c r="M20" s="6">
        <v>4.2594480336780843E-2</v>
      </c>
      <c r="N20" s="6">
        <v>5.6608250171988769E-2</v>
      </c>
    </row>
    <row r="21" spans="1:14">
      <c r="A21" s="8" t="s">
        <v>51</v>
      </c>
      <c r="B21" s="7" t="s">
        <v>52</v>
      </c>
      <c r="C21" s="6">
        <v>5.8099999999999999E-2</v>
      </c>
      <c r="D21" s="6">
        <v>5.8500000000000003E-2</v>
      </c>
      <c r="E21" s="6">
        <v>4.24E-2</v>
      </c>
      <c r="F21" s="6">
        <v>2.6599999999999999E-2</v>
      </c>
      <c r="G21" s="6">
        <v>8.6E-3</v>
      </c>
      <c r="H21" s="6">
        <v>0</v>
      </c>
      <c r="I21" s="6">
        <v>5.6616078254452869E-2</v>
      </c>
      <c r="J21" s="6">
        <v>5.7295891141325293E-2</v>
      </c>
      <c r="K21" s="6">
        <v>4.184770687026633E-2</v>
      </c>
      <c r="L21" s="6">
        <v>2.6417445724432526E-2</v>
      </c>
      <c r="M21" s="6">
        <v>8.5932128038539966E-3</v>
      </c>
      <c r="N21" s="6">
        <v>0</v>
      </c>
    </row>
    <row r="22" spans="1:14">
      <c r="A22" s="8" t="s">
        <v>53</v>
      </c>
      <c r="B22" s="7" t="s">
        <v>54</v>
      </c>
      <c r="C22" s="6">
        <v>1.9900000000000001E-2</v>
      </c>
      <c r="D22" s="6">
        <v>2.7400000000000001E-2</v>
      </c>
      <c r="E22" s="6">
        <v>2.58E-2</v>
      </c>
      <c r="F22" s="6">
        <v>1.9199999999999998E-2</v>
      </c>
      <c r="G22" s="6">
        <v>1.2200000000000001E-2</v>
      </c>
      <c r="H22" s="6">
        <v>5.1999999999999998E-3</v>
      </c>
      <c r="I22" s="6">
        <v>2.0919092212375777E-2</v>
      </c>
      <c r="J22" s="6">
        <v>2.8949714339598628E-2</v>
      </c>
      <c r="K22" s="6">
        <v>2.7469554855559592E-2</v>
      </c>
      <c r="L22" s="6">
        <v>2.0570105699315153E-2</v>
      </c>
      <c r="M22" s="6">
        <v>1.3150523864294416E-2</v>
      </c>
      <c r="N22" s="6">
        <v>5.628046659416264E-3</v>
      </c>
    </row>
    <row r="23" spans="1:14">
      <c r="A23" s="8" t="s">
        <v>55</v>
      </c>
      <c r="B23" s="7" t="s">
        <v>56</v>
      </c>
      <c r="C23" s="6">
        <v>5.0000000000000001E-3</v>
      </c>
      <c r="D23" s="6">
        <v>8.0999999999999996E-3</v>
      </c>
      <c r="E23" s="6">
        <v>1.3899999999999999E-2</v>
      </c>
      <c r="F23" s="6">
        <v>1.77E-2</v>
      </c>
      <c r="G23" s="6">
        <v>2.07E-2</v>
      </c>
      <c r="H23" s="6">
        <v>2.5999999999999999E-2</v>
      </c>
      <c r="I23" s="6">
        <v>5.0896126137809899E-3</v>
      </c>
      <c r="J23" s="6">
        <v>8.287121469261435E-3</v>
      </c>
      <c r="K23" s="6">
        <v>1.4330841142397721E-2</v>
      </c>
      <c r="L23" s="6">
        <v>1.8362572640369688E-2</v>
      </c>
      <c r="M23" s="6">
        <v>2.1606207088916932E-2</v>
      </c>
      <c r="N23" s="6">
        <v>2.7249131169762669E-2</v>
      </c>
    </row>
    <row r="24" spans="1:14">
      <c r="A24" s="8" t="s">
        <v>57</v>
      </c>
      <c r="B24" s="7" t="s">
        <v>58</v>
      </c>
      <c r="C24" s="6">
        <v>7.4999999999999997E-3</v>
      </c>
      <c r="D24" s="6">
        <v>2.58E-2</v>
      </c>
      <c r="E24" s="6">
        <v>5.4199999999999998E-2</v>
      </c>
      <c r="F24" s="6">
        <v>7.8799999999999995E-2</v>
      </c>
      <c r="G24" s="6">
        <v>0.1055</v>
      </c>
      <c r="H24" s="6">
        <v>0.1391</v>
      </c>
      <c r="I24" s="6">
        <v>7.3871129325796476E-3</v>
      </c>
      <c r="J24" s="6">
        <v>2.5540955653101174E-2</v>
      </c>
      <c r="K24" s="6">
        <v>5.4069819461699489E-2</v>
      </c>
      <c r="L24" s="6">
        <v>7.9101592923571426E-2</v>
      </c>
      <c r="M24" s="6">
        <v>0.10655145875628932</v>
      </c>
      <c r="N24" s="6">
        <v>0.14106042657099108</v>
      </c>
    </row>
    <row r="25" spans="1:14">
      <c r="A25" s="8" t="s">
        <v>59</v>
      </c>
      <c r="B25" s="7" t="s">
        <v>60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>
      <c r="A26" s="8" t="s">
        <v>61</v>
      </c>
      <c r="B26" s="7" t="s">
        <v>62</v>
      </c>
      <c r="C26" s="6">
        <v>1.5599999999999999E-2</v>
      </c>
      <c r="D26" s="6">
        <v>3.6200000000000003E-2</v>
      </c>
      <c r="E26" s="6">
        <v>5.0099999999999999E-2</v>
      </c>
      <c r="F26" s="6">
        <v>5.91E-2</v>
      </c>
      <c r="G26" s="6">
        <v>6.4899999999999999E-2</v>
      </c>
      <c r="H26" s="6">
        <v>4.6399999999999997E-2</v>
      </c>
      <c r="I26" s="6">
        <v>1.5951693764360397E-2</v>
      </c>
      <c r="J26" s="6">
        <v>3.7204437070762889E-2</v>
      </c>
      <c r="K26" s="6">
        <v>5.1887421454677174E-2</v>
      </c>
      <c r="L26" s="6">
        <v>6.1590711742736469E-2</v>
      </c>
      <c r="M26" s="6">
        <v>6.8048783720417436E-2</v>
      </c>
      <c r="N26" s="6">
        <v>4.8850023115088154E-2</v>
      </c>
    </row>
    <row r="27" spans="1:14">
      <c r="A27" s="8" t="s">
        <v>63</v>
      </c>
      <c r="B27" s="7" t="s">
        <v>64</v>
      </c>
      <c r="C27" s="6">
        <v>0</v>
      </c>
      <c r="D27" s="6">
        <v>5.0000000000000001E-3</v>
      </c>
      <c r="E27" s="6">
        <v>7.1000000000000004E-3</v>
      </c>
      <c r="F27" s="6">
        <v>8.9999999999999993E-3</v>
      </c>
      <c r="G27" s="6">
        <v>1.55E-2</v>
      </c>
      <c r="H27" s="6">
        <v>2.75E-2</v>
      </c>
      <c r="I27" s="6">
        <v>0</v>
      </c>
      <c r="J27" s="6">
        <v>5.1005146885394941E-3</v>
      </c>
      <c r="K27" s="6">
        <v>7.2986164709713591E-3</v>
      </c>
      <c r="L27" s="6">
        <v>9.3095370019742763E-3</v>
      </c>
      <c r="M27" s="6">
        <v>1.6131145170462807E-2</v>
      </c>
      <c r="N27" s="6">
        <v>2.8736728038355391E-2</v>
      </c>
    </row>
    <row r="28" spans="1:14">
      <c r="A28" s="8" t="s">
        <v>65</v>
      </c>
      <c r="B28" s="7" t="s">
        <v>66</v>
      </c>
      <c r="C28" s="6">
        <v>1.47E-2</v>
      </c>
      <c r="D28" s="6">
        <v>4.1799999999999997E-2</v>
      </c>
      <c r="E28" s="6">
        <v>6.4699999999999994E-2</v>
      </c>
      <c r="F28" s="6">
        <v>7.9100000000000004E-2</v>
      </c>
      <c r="G28" s="6">
        <v>9.2600000000000002E-2</v>
      </c>
      <c r="H28" s="6">
        <v>9.8599999999999993E-2</v>
      </c>
      <c r="I28" s="6">
        <v>1.5100501609020793E-2</v>
      </c>
      <c r="J28" s="6">
        <v>4.3157301623428353E-2</v>
      </c>
      <c r="K28" s="6">
        <v>6.7316337277288515E-2</v>
      </c>
      <c r="L28" s="6">
        <v>8.2812531230173195E-2</v>
      </c>
      <c r="M28" s="6">
        <v>9.7539043180233528E-2</v>
      </c>
      <c r="N28" s="6">
        <v>0.10428348636281586</v>
      </c>
    </row>
    <row r="29" spans="1:14">
      <c r="A29" s="8" t="s">
        <v>117</v>
      </c>
      <c r="B29" s="7" t="s">
        <v>68</v>
      </c>
      <c r="C29" s="6">
        <v>1.1299999999999999E-2</v>
      </c>
      <c r="D29" s="6">
        <v>1.72E-2</v>
      </c>
      <c r="E29" s="6">
        <v>2.0400000000000001E-2</v>
      </c>
      <c r="F29" s="6">
        <v>2.2200000000000001E-2</v>
      </c>
      <c r="G29" s="6">
        <v>2.3400000000000001E-2</v>
      </c>
      <c r="H29" s="6">
        <v>2.3199999999999998E-2</v>
      </c>
      <c r="I29" s="6">
        <v>1.1335748124648952E-2</v>
      </c>
      <c r="J29" s="6">
        <v>1.7342198500963857E-2</v>
      </c>
      <c r="K29" s="6">
        <v>2.0727363764030546E-2</v>
      </c>
      <c r="L29" s="6">
        <v>2.2697093942430864E-2</v>
      </c>
      <c r="M29" s="6">
        <v>2.4070275804530656E-2</v>
      </c>
      <c r="N29" s="6">
        <v>2.3962069125469589E-2</v>
      </c>
    </row>
    <row r="30" spans="1:14">
      <c r="A30" s="8" t="s">
        <v>69</v>
      </c>
      <c r="B30" s="7" t="s">
        <v>70</v>
      </c>
      <c r="C30" s="6">
        <v>5.1000000000000004E-3</v>
      </c>
      <c r="D30" s="6">
        <v>1.5800000000000002E-2</v>
      </c>
      <c r="E30" s="6">
        <v>2.6700000000000002E-2</v>
      </c>
      <c r="F30" s="6">
        <v>3.1300000000000001E-2</v>
      </c>
      <c r="G30" s="6">
        <v>3.4500000000000003E-2</v>
      </c>
      <c r="H30" s="6">
        <v>3.3099999999999997E-2</v>
      </c>
      <c r="I30" s="6">
        <v>5.0507599422601806E-3</v>
      </c>
      <c r="J30" s="6">
        <v>1.5727062048574415E-2</v>
      </c>
      <c r="K30" s="6">
        <v>2.6781812827928353E-2</v>
      </c>
      <c r="L30" s="6">
        <v>3.1591949431172835E-2</v>
      </c>
      <c r="M30" s="6">
        <v>3.5034757156134071E-2</v>
      </c>
      <c r="N30" s="6">
        <v>3.3750416204090791E-2</v>
      </c>
    </row>
    <row r="31" spans="1:14">
      <c r="A31" s="8" t="s">
        <v>95</v>
      </c>
      <c r="B31" s="7" t="s">
        <v>72</v>
      </c>
      <c r="C31" s="6">
        <v>0</v>
      </c>
      <c r="D31" s="6">
        <v>5.1999999999999998E-3</v>
      </c>
      <c r="E31" s="6">
        <v>1.24E-2</v>
      </c>
      <c r="F31" s="6">
        <v>1.7500000000000002E-2</v>
      </c>
      <c r="G31" s="6">
        <v>2.1299999999999999E-2</v>
      </c>
      <c r="H31" s="6">
        <v>2.18E-2</v>
      </c>
      <c r="I31" s="6">
        <v>0</v>
      </c>
      <c r="J31" s="6">
        <v>5.0295145405914003E-3</v>
      </c>
      <c r="K31" s="6">
        <v>1.2086000433020414E-2</v>
      </c>
      <c r="L31" s="6">
        <v>1.716336142170477E-2</v>
      </c>
      <c r="M31" s="6">
        <v>2.1018021455369598E-2</v>
      </c>
      <c r="N31" s="6">
        <v>2.1599308318115427E-2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5677-E575-4EFB-BCF1-FE71BF9E6EA1}">
  <dimension ref="A1:N37"/>
  <sheetViews>
    <sheetView workbookViewId="0">
      <selection sqref="A1:B1"/>
    </sheetView>
  </sheetViews>
  <sheetFormatPr defaultRowHeight="15"/>
  <cols>
    <col min="1" max="1" width="47.85546875" bestFit="1" customWidth="1"/>
  </cols>
  <sheetData>
    <row r="1" spans="1:14">
      <c r="A1" s="18" t="s">
        <v>102</v>
      </c>
      <c r="B1" s="19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4" t="s">
        <v>13</v>
      </c>
      <c r="B2" s="14" t="s">
        <v>14</v>
      </c>
      <c r="C2" s="15">
        <v>46097</v>
      </c>
      <c r="D2" s="3">
        <v>46097</v>
      </c>
      <c r="E2" s="3">
        <v>46097</v>
      </c>
      <c r="F2" s="3">
        <v>46097</v>
      </c>
      <c r="G2" s="3">
        <v>46097</v>
      </c>
      <c r="H2" s="3">
        <v>46097</v>
      </c>
      <c r="I2" s="3">
        <v>46108</v>
      </c>
      <c r="J2" s="3">
        <v>46108</v>
      </c>
      <c r="K2" s="3">
        <v>46108</v>
      </c>
      <c r="L2" s="3">
        <v>46108</v>
      </c>
      <c r="M2" s="3">
        <v>46108</v>
      </c>
      <c r="N2" s="3">
        <v>46108</v>
      </c>
    </row>
    <row r="3" spans="1:14">
      <c r="A3" s="16" t="s">
        <v>15</v>
      </c>
      <c r="B3" s="7" t="s">
        <v>16</v>
      </c>
      <c r="C3" s="4">
        <v>0.02</v>
      </c>
      <c r="D3" s="5">
        <v>0.02</v>
      </c>
      <c r="E3" s="4">
        <v>0.02</v>
      </c>
      <c r="F3" s="4">
        <v>0.02</v>
      </c>
      <c r="G3" s="4">
        <v>0.02</v>
      </c>
      <c r="H3" s="4">
        <v>0.02</v>
      </c>
      <c r="I3" s="4">
        <v>2.0370534927017181E-2</v>
      </c>
      <c r="J3" s="4">
        <v>2.0548144001275706E-2</v>
      </c>
      <c r="K3" s="4">
        <v>2.0701975507136421E-2</v>
      </c>
      <c r="L3" s="4">
        <v>2.0807976880674491E-2</v>
      </c>
      <c r="M3" s="4">
        <v>2.0911201285449658E-2</v>
      </c>
      <c r="N3" s="4">
        <v>2.0954263534995788E-2</v>
      </c>
    </row>
    <row r="4" spans="1:14">
      <c r="A4" s="8" t="s">
        <v>17</v>
      </c>
      <c r="B4" s="7" t="s">
        <v>18</v>
      </c>
      <c r="C4" s="4">
        <v>0.1177</v>
      </c>
      <c r="D4" s="4">
        <v>4.0899999999999999E-2</v>
      </c>
      <c r="E4" s="4">
        <v>1.5100000000000001E-2</v>
      </c>
      <c r="F4" s="4">
        <v>6.4000000000000003E-3</v>
      </c>
      <c r="G4" s="4">
        <v>0</v>
      </c>
      <c r="H4" s="4">
        <v>0</v>
      </c>
      <c r="I4" s="4">
        <v>0.11986564960805925</v>
      </c>
      <c r="J4" s="4">
        <v>4.2015714705535945E-2</v>
      </c>
      <c r="K4" s="4">
        <v>1.5628042535710651E-2</v>
      </c>
      <c r="L4" s="4">
        <v>6.6577223176947113E-3</v>
      </c>
      <c r="M4" s="4">
        <v>0</v>
      </c>
      <c r="N4" s="4">
        <v>0</v>
      </c>
    </row>
    <row r="5" spans="1:14">
      <c r="A5" s="9" t="s">
        <v>19</v>
      </c>
      <c r="B5" s="7" t="s">
        <v>20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>
      <c r="A6" s="8" t="s">
        <v>21</v>
      </c>
      <c r="B6" s="7" t="s">
        <v>22</v>
      </c>
      <c r="C6" s="4">
        <v>6.6900000000000001E-2</v>
      </c>
      <c r="D6" s="4">
        <v>2.6499999999999999E-2</v>
      </c>
      <c r="E6" s="4">
        <v>7.4999999999999997E-3</v>
      </c>
      <c r="F6" s="4">
        <v>0</v>
      </c>
      <c r="G6" s="4">
        <v>0</v>
      </c>
      <c r="H6" s="4">
        <v>0</v>
      </c>
      <c r="I6" s="4">
        <v>6.7317209069172018E-2</v>
      </c>
      <c r="J6" s="4">
        <v>2.6897754488054051E-2</v>
      </c>
      <c r="K6" s="4">
        <v>7.6695627398971639E-3</v>
      </c>
      <c r="L6" s="4">
        <v>0</v>
      </c>
      <c r="M6" s="4">
        <v>0</v>
      </c>
      <c r="N6" s="4">
        <v>0</v>
      </c>
    </row>
    <row r="7" spans="1:14">
      <c r="A7" s="8" t="s">
        <v>23</v>
      </c>
      <c r="B7" s="7" t="s">
        <v>24</v>
      </c>
      <c r="C7" s="4">
        <v>1.12E-2</v>
      </c>
      <c r="D7" s="4">
        <v>3.0599999999999999E-2</v>
      </c>
      <c r="E7" s="4">
        <v>2.7699999999999999E-2</v>
      </c>
      <c r="F7" s="4">
        <v>1.8800000000000001E-2</v>
      </c>
      <c r="G7" s="4">
        <v>5.8999999999999999E-3</v>
      </c>
      <c r="H7" s="4">
        <v>0</v>
      </c>
      <c r="I7" s="4">
        <v>1.1190121442780223E-2</v>
      </c>
      <c r="J7" s="4">
        <v>3.0839574016849579E-2</v>
      </c>
      <c r="K7" s="4">
        <v>2.8125865977808629E-2</v>
      </c>
      <c r="L7" s="4">
        <v>1.9186777947472644E-2</v>
      </c>
      <c r="M7" s="4">
        <v>6.0512533708443061E-3</v>
      </c>
      <c r="N7" s="4">
        <v>0</v>
      </c>
    </row>
    <row r="8" spans="1:14">
      <c r="A8" s="8" t="s">
        <v>25</v>
      </c>
      <c r="B8" s="7" t="s">
        <v>26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>
      <c r="A9" s="8" t="s">
        <v>27</v>
      </c>
      <c r="B9" s="7" t="s">
        <v>28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8" t="s">
        <v>29</v>
      </c>
      <c r="B10" s="7" t="s">
        <v>30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s="8" t="s">
        <v>31</v>
      </c>
      <c r="B11" s="7" t="s">
        <v>32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>
      <c r="A12" s="8" t="s">
        <v>33</v>
      </c>
      <c r="B12" s="7" t="s">
        <v>34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>
      <c r="A13" s="8" t="s">
        <v>35</v>
      </c>
      <c r="B13" s="7" t="s">
        <v>36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>
      <c r="A14" s="8" t="s">
        <v>37</v>
      </c>
      <c r="B14" s="7" t="s">
        <v>38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>
      <c r="A15" s="8" t="s">
        <v>39</v>
      </c>
      <c r="B15" s="7" t="s">
        <v>40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>
      <c r="A16" s="8" t="s">
        <v>41</v>
      </c>
      <c r="B16" s="7" t="s">
        <v>74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>
      <c r="A17" s="8" t="s">
        <v>103</v>
      </c>
      <c r="B17" s="7" t="s">
        <v>104</v>
      </c>
      <c r="C17" s="6">
        <v>0.1033</v>
      </c>
      <c r="D17" s="6">
        <v>9.1200000000000003E-2</v>
      </c>
      <c r="E17" s="6">
        <v>5.0099999999999999E-2</v>
      </c>
      <c r="F17" s="6">
        <v>1.41E-2</v>
      </c>
      <c r="G17" s="6">
        <v>5.3E-3</v>
      </c>
      <c r="H17" s="6">
        <v>0</v>
      </c>
      <c r="I17" s="6">
        <v>0.10360578601802749</v>
      </c>
      <c r="J17" s="6">
        <v>9.2267487284413044E-2</v>
      </c>
      <c r="K17" s="6">
        <v>5.1065874200246456E-2</v>
      </c>
      <c r="L17" s="6">
        <v>1.4445421682328864E-2</v>
      </c>
      <c r="M17" s="6">
        <v>5.4567757532255302E-3</v>
      </c>
      <c r="N17" s="6">
        <v>0</v>
      </c>
    </row>
    <row r="18" spans="1:14">
      <c r="A18" s="8" t="s">
        <v>105</v>
      </c>
      <c r="B18" s="7" t="s">
        <v>106</v>
      </c>
      <c r="C18" s="6">
        <v>0.12889999999999999</v>
      </c>
      <c r="D18" s="6">
        <v>0.1072</v>
      </c>
      <c r="E18" s="6">
        <v>5.7299999999999997E-2</v>
      </c>
      <c r="F18" s="6">
        <v>2.5100000000000001E-2</v>
      </c>
      <c r="G18" s="6">
        <v>9.1000000000000004E-3</v>
      </c>
      <c r="H18" s="6">
        <v>0</v>
      </c>
      <c r="I18" s="6">
        <v>0.12899153682487352</v>
      </c>
      <c r="J18" s="6">
        <v>0.10821145884378058</v>
      </c>
      <c r="K18" s="6">
        <v>5.8273657678492227E-2</v>
      </c>
      <c r="L18" s="6">
        <v>2.5657210905689069E-2</v>
      </c>
      <c r="M18" s="6">
        <v>9.3481622336271091E-3</v>
      </c>
      <c r="N18" s="6">
        <v>0</v>
      </c>
    </row>
    <row r="19" spans="1:14">
      <c r="A19" s="8" t="s">
        <v>107</v>
      </c>
      <c r="B19" s="7" t="s">
        <v>108</v>
      </c>
      <c r="C19" s="6">
        <v>8.1500000000000003E-2</v>
      </c>
      <c r="D19" s="6">
        <v>3.7999999999999999E-2</v>
      </c>
      <c r="E19" s="6">
        <v>1.3299999999999999E-2</v>
      </c>
      <c r="F19" s="6">
        <v>5.4999999999999997E-3</v>
      </c>
      <c r="G19" s="6">
        <v>0</v>
      </c>
      <c r="H19" s="6">
        <v>0</v>
      </c>
      <c r="I19" s="6">
        <v>8.2332694230860481E-2</v>
      </c>
      <c r="J19" s="6">
        <v>3.8722954170743229E-2</v>
      </c>
      <c r="K19" s="6">
        <v>1.3654497314449581E-2</v>
      </c>
      <c r="L19" s="6">
        <v>5.6755091884828418E-3</v>
      </c>
      <c r="M19" s="6">
        <v>0</v>
      </c>
      <c r="N19" s="6">
        <v>0</v>
      </c>
    </row>
    <row r="20" spans="1:14">
      <c r="A20" s="8" t="s">
        <v>109</v>
      </c>
      <c r="B20" s="7" t="s">
        <v>110</v>
      </c>
      <c r="C20" s="6">
        <v>0.1216</v>
      </c>
      <c r="D20" s="6">
        <v>7.6899999999999996E-2</v>
      </c>
      <c r="E20" s="6">
        <v>4.58E-2</v>
      </c>
      <c r="F20" s="6">
        <v>2.7400000000000001E-2</v>
      </c>
      <c r="G20" s="6">
        <v>8.9999999999999993E-3</v>
      </c>
      <c r="H20" s="6">
        <v>0</v>
      </c>
      <c r="I20" s="6">
        <v>0.12303259418775475</v>
      </c>
      <c r="J20" s="6">
        <v>7.8484358553783148E-2</v>
      </c>
      <c r="K20" s="6">
        <v>4.7093551257525443E-2</v>
      </c>
      <c r="L20" s="6">
        <v>2.8318131376158389E-2</v>
      </c>
      <c r="M20" s="6">
        <v>9.3477193439903371E-3</v>
      </c>
      <c r="N20" s="6">
        <v>0</v>
      </c>
    </row>
    <row r="21" spans="1:14">
      <c r="A21" s="8" t="s">
        <v>111</v>
      </c>
      <c r="B21" s="7" t="s">
        <v>112</v>
      </c>
      <c r="C21" s="6">
        <v>9.8299999999999998E-2</v>
      </c>
      <c r="D21" s="6">
        <v>9.5899999999999999E-2</v>
      </c>
      <c r="E21" s="6">
        <v>8.5199999999999998E-2</v>
      </c>
      <c r="F21" s="6">
        <v>6.2799999999999995E-2</v>
      </c>
      <c r="G21" s="6">
        <v>1.37E-2</v>
      </c>
      <c r="H21" s="6">
        <v>0</v>
      </c>
      <c r="I21" s="6">
        <v>9.8167495269634489E-2</v>
      </c>
      <c r="J21" s="6">
        <v>9.6605747762980948E-2</v>
      </c>
      <c r="K21" s="6">
        <v>8.6469539055173919E-2</v>
      </c>
      <c r="L21" s="6">
        <v>6.406211298650985E-2</v>
      </c>
      <c r="M21" s="6">
        <v>1.4044662529949558E-2</v>
      </c>
      <c r="N21" s="6">
        <v>0</v>
      </c>
    </row>
    <row r="22" spans="1:14">
      <c r="A22" s="8" t="s">
        <v>113</v>
      </c>
      <c r="B22" s="7" t="s">
        <v>114</v>
      </c>
      <c r="C22" s="6">
        <v>3.1699999999999999E-2</v>
      </c>
      <c r="D22" s="6">
        <v>4.58E-2</v>
      </c>
      <c r="E22" s="6">
        <v>5.2600000000000001E-2</v>
      </c>
      <c r="F22" s="6">
        <v>5.1499999999999997E-2</v>
      </c>
      <c r="G22" s="6">
        <v>2.8299999999999999E-2</v>
      </c>
      <c r="H22" s="6">
        <v>0</v>
      </c>
      <c r="I22" s="6">
        <v>3.1603795901084038E-2</v>
      </c>
      <c r="J22" s="6">
        <v>4.6059119473589705E-2</v>
      </c>
      <c r="K22" s="6">
        <v>5.3293603581109739E-2</v>
      </c>
      <c r="L22" s="6">
        <v>5.2446273843978916E-2</v>
      </c>
      <c r="M22" s="6">
        <v>2.8962961737990414E-2</v>
      </c>
      <c r="N22" s="6">
        <v>0</v>
      </c>
    </row>
    <row r="23" spans="1:14">
      <c r="A23" s="8" t="s">
        <v>156</v>
      </c>
      <c r="B23" s="7" t="s">
        <v>157</v>
      </c>
      <c r="C23" s="6">
        <v>2.3800000000000002E-2</v>
      </c>
      <c r="D23" s="6">
        <v>6.4899999999999999E-2</v>
      </c>
      <c r="E23" s="6">
        <v>0.12790000000000001</v>
      </c>
      <c r="F23" s="6">
        <v>0.1822</v>
      </c>
      <c r="G23" s="6">
        <v>0.23580000000000001</v>
      </c>
      <c r="H23" s="6">
        <v>0.25</v>
      </c>
      <c r="I23" s="6">
        <v>2.3565334405122984E-2</v>
      </c>
      <c r="J23" s="6">
        <v>6.4820371195861745E-2</v>
      </c>
      <c r="K23" s="6">
        <v>0.12869940859327605</v>
      </c>
      <c r="L23" s="6">
        <v>0.18427755678625857</v>
      </c>
      <c r="M23" s="6">
        <v>0.23967183418784938</v>
      </c>
      <c r="N23" s="6">
        <v>0.25462827422573953</v>
      </c>
    </row>
    <row r="24" spans="1:14">
      <c r="A24" s="8" t="s">
        <v>158</v>
      </c>
      <c r="B24" s="7" t="s">
        <v>159</v>
      </c>
      <c r="C24" s="6">
        <v>2.69E-2</v>
      </c>
      <c r="D24" s="6">
        <v>7.1300000000000002E-2</v>
      </c>
      <c r="E24" s="6">
        <v>0.1318</v>
      </c>
      <c r="F24" s="6">
        <v>0.18260000000000001</v>
      </c>
      <c r="G24" s="6">
        <v>0.2356</v>
      </c>
      <c r="H24" s="6">
        <v>0.25</v>
      </c>
      <c r="I24" s="6">
        <v>2.5465571152931521E-2</v>
      </c>
      <c r="J24" s="6">
        <v>6.808647306615237E-2</v>
      </c>
      <c r="K24" s="6">
        <v>0.12680194295881173</v>
      </c>
      <c r="L24" s="6">
        <v>0.17657504978077559</v>
      </c>
      <c r="M24" s="6">
        <v>0.2289564992364829</v>
      </c>
      <c r="N24" s="6">
        <v>0.24345075053591053</v>
      </c>
    </row>
    <row r="25" spans="1:14">
      <c r="A25" s="8" t="s">
        <v>160</v>
      </c>
      <c r="B25" s="7" t="s">
        <v>161</v>
      </c>
      <c r="C25" s="6">
        <v>1.7999999999999999E-2</v>
      </c>
      <c r="D25" s="6">
        <v>2.7E-2</v>
      </c>
      <c r="E25" s="6">
        <v>3.32E-2</v>
      </c>
      <c r="F25" s="6">
        <v>3.6299999999999999E-2</v>
      </c>
      <c r="G25" s="6">
        <v>3.8899999999999997E-2</v>
      </c>
      <c r="H25" s="6">
        <v>4.1599999999999998E-2</v>
      </c>
      <c r="I25" s="6">
        <v>1.8199018650996979E-2</v>
      </c>
      <c r="J25" s="6">
        <v>2.7536541671270634E-2</v>
      </c>
      <c r="K25" s="6">
        <v>3.411323495374826E-2</v>
      </c>
      <c r="L25" s="6">
        <v>3.7489488325838691E-2</v>
      </c>
      <c r="M25" s="6">
        <v>4.0373984791037723E-2</v>
      </c>
      <c r="N25" s="6">
        <v>4.3265204770613103E-2</v>
      </c>
    </row>
    <row r="26" spans="1:14">
      <c r="A26" s="8" t="s">
        <v>162</v>
      </c>
      <c r="B26" s="7" t="s">
        <v>163</v>
      </c>
      <c r="C26" s="6">
        <v>1.04E-2</v>
      </c>
      <c r="D26" s="6">
        <v>2.1600000000000001E-2</v>
      </c>
      <c r="E26" s="6">
        <v>2.8199999999999999E-2</v>
      </c>
      <c r="F26" s="6">
        <v>3.56E-2</v>
      </c>
      <c r="G26" s="6">
        <v>4.1099999999999998E-2</v>
      </c>
      <c r="H26" s="6">
        <v>6.3500000000000001E-2</v>
      </c>
      <c r="I26" s="6">
        <v>1.0205435028490296E-2</v>
      </c>
      <c r="J26" s="6">
        <v>2.1380708918108081E-2</v>
      </c>
      <c r="K26" s="6">
        <v>2.8122676296023962E-2</v>
      </c>
      <c r="L26" s="6">
        <v>3.5684170341901286E-2</v>
      </c>
      <c r="M26" s="6">
        <v>4.1401545510809518E-2</v>
      </c>
      <c r="N26" s="6">
        <v>6.4097615870149588E-2</v>
      </c>
    </row>
    <row r="27" spans="1:14">
      <c r="A27" s="8" t="s">
        <v>51</v>
      </c>
      <c r="B27" s="7" t="s">
        <v>52</v>
      </c>
      <c r="C27" s="6">
        <v>6.4000000000000001E-2</v>
      </c>
      <c r="D27" s="6">
        <v>6.7199999999999996E-2</v>
      </c>
      <c r="E27" s="6">
        <v>5.0299999999999997E-2</v>
      </c>
      <c r="F27" s="6">
        <v>3.0800000000000001E-2</v>
      </c>
      <c r="G27" s="6">
        <v>1.1299999999999999E-2</v>
      </c>
      <c r="H27" s="6">
        <v>0</v>
      </c>
      <c r="I27" s="6">
        <v>6.2278986578435946E-2</v>
      </c>
      <c r="J27" s="6">
        <v>6.5963091715792052E-2</v>
      </c>
      <c r="K27" s="6">
        <v>4.9743793844407247E-2</v>
      </c>
      <c r="L27" s="6">
        <v>3.0615383398420286E-2</v>
      </c>
      <c r="M27" s="6">
        <v>1.1287988421553274E-2</v>
      </c>
      <c r="N27" s="6">
        <v>0</v>
      </c>
    </row>
    <row r="28" spans="1:14">
      <c r="A28" s="8" t="s">
        <v>53</v>
      </c>
      <c r="B28" s="7" t="s">
        <v>54</v>
      </c>
      <c r="C28" s="6">
        <v>2.3099999999999999E-2</v>
      </c>
      <c r="D28" s="6">
        <v>3.5299999999999998E-2</v>
      </c>
      <c r="E28" s="6">
        <v>3.4599999999999999E-2</v>
      </c>
      <c r="F28" s="6">
        <v>2.8899999999999999E-2</v>
      </c>
      <c r="G28" s="6">
        <v>1.7500000000000002E-2</v>
      </c>
      <c r="H28" s="6">
        <v>7.7999999999999996E-3</v>
      </c>
      <c r="I28" s="6">
        <v>2.2901343755708035E-2</v>
      </c>
      <c r="J28" s="6">
        <v>3.5301556792509688E-2</v>
      </c>
      <c r="K28" s="6">
        <v>3.4860566583882618E-2</v>
      </c>
      <c r="L28" s="6">
        <v>2.9266733406067762E-2</v>
      </c>
      <c r="M28" s="6">
        <v>1.7809986212879502E-2</v>
      </c>
      <c r="N28" s="6">
        <v>7.9545122761363607E-3</v>
      </c>
    </row>
    <row r="29" spans="1:14">
      <c r="A29" s="8" t="s">
        <v>115</v>
      </c>
      <c r="B29" s="7" t="s">
        <v>116</v>
      </c>
      <c r="C29" s="6">
        <v>5.0000000000000001E-3</v>
      </c>
      <c r="D29" s="6">
        <v>9.1000000000000004E-3</v>
      </c>
      <c r="E29" s="6">
        <v>1.41E-2</v>
      </c>
      <c r="F29" s="6">
        <v>1.78E-2</v>
      </c>
      <c r="G29" s="6">
        <v>2.1399999999999999E-2</v>
      </c>
      <c r="H29" s="6">
        <v>3.15E-2</v>
      </c>
      <c r="I29" s="6">
        <v>4.8838006757510079E-3</v>
      </c>
      <c r="J29" s="6">
        <v>8.9660155048205178E-3</v>
      </c>
      <c r="K29" s="6">
        <v>1.3996401615377001E-2</v>
      </c>
      <c r="L29" s="6">
        <v>1.7759688806267295E-2</v>
      </c>
      <c r="M29" s="6">
        <v>2.1457456878369842E-2</v>
      </c>
      <c r="N29" s="6">
        <v>3.1649616208212696E-2</v>
      </c>
    </row>
    <row r="30" spans="1:14">
      <c r="A30" s="8" t="s">
        <v>57</v>
      </c>
      <c r="B30" s="7" t="s">
        <v>58</v>
      </c>
      <c r="C30" s="6">
        <v>6.0000000000000001E-3</v>
      </c>
      <c r="D30" s="6">
        <v>2.12E-2</v>
      </c>
      <c r="E30" s="6">
        <v>4.5400000000000003E-2</v>
      </c>
      <c r="F30" s="6">
        <v>6.3799999999999996E-2</v>
      </c>
      <c r="G30" s="6">
        <v>8.7400000000000005E-2</v>
      </c>
      <c r="H30" s="6">
        <v>0.1245</v>
      </c>
      <c r="I30" s="6">
        <v>5.8230066558270293E-3</v>
      </c>
      <c r="J30" s="6">
        <v>2.0754012023704142E-2</v>
      </c>
      <c r="K30" s="6">
        <v>4.477764467634078E-2</v>
      </c>
      <c r="L30" s="6">
        <v>6.3247612739277939E-2</v>
      </c>
      <c r="M30" s="6">
        <v>8.7073102195746627E-2</v>
      </c>
      <c r="N30" s="6">
        <v>0.1242897617436103</v>
      </c>
    </row>
    <row r="31" spans="1:14">
      <c r="A31" s="8" t="s">
        <v>59</v>
      </c>
      <c r="B31" s="7" t="s">
        <v>60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>
      <c r="A32" s="8" t="s">
        <v>61</v>
      </c>
      <c r="B32" s="7" t="s">
        <v>62</v>
      </c>
      <c r="C32" s="6">
        <v>1.72E-2</v>
      </c>
      <c r="D32" s="6">
        <v>3.9300000000000002E-2</v>
      </c>
      <c r="E32" s="6">
        <v>5.6399999999999999E-2</v>
      </c>
      <c r="F32" s="6">
        <v>6.54E-2</v>
      </c>
      <c r="G32" s="6">
        <v>7.3300000000000004E-2</v>
      </c>
      <c r="H32" s="6">
        <v>5.0599999999999999E-2</v>
      </c>
      <c r="I32" s="6">
        <v>1.6728361317809578E-2</v>
      </c>
      <c r="J32" s="6">
        <v>3.8555618174426737E-2</v>
      </c>
      <c r="K32" s="6">
        <v>5.5745961964107429E-2</v>
      </c>
      <c r="L32" s="6">
        <v>6.4972581820618852E-2</v>
      </c>
      <c r="M32" s="6">
        <v>7.3182202649226105E-2</v>
      </c>
      <c r="N32" s="6">
        <v>5.0622715536859729E-2</v>
      </c>
    </row>
    <row r="33" spans="1:14">
      <c r="A33" s="8" t="s">
        <v>63</v>
      </c>
      <c r="B33" s="7" t="s">
        <v>64</v>
      </c>
      <c r="C33" s="6">
        <v>0</v>
      </c>
      <c r="D33" s="6">
        <v>5.1999999999999998E-3</v>
      </c>
      <c r="E33" s="6">
        <v>5.4999999999999997E-3</v>
      </c>
      <c r="F33" s="6">
        <v>8.6E-3</v>
      </c>
      <c r="G33" s="6">
        <v>1.2699999999999999E-2</v>
      </c>
      <c r="H33" s="6">
        <v>2.2100000000000002E-2</v>
      </c>
      <c r="I33" s="6">
        <v>0</v>
      </c>
      <c r="J33" s="6">
        <v>5.1144824246015441E-3</v>
      </c>
      <c r="K33" s="6">
        <v>5.4500467324224674E-3</v>
      </c>
      <c r="L33" s="6">
        <v>8.5655263256717955E-3</v>
      </c>
      <c r="M33" s="6">
        <v>1.2711840930862174E-2</v>
      </c>
      <c r="N33" s="6">
        <v>2.2166157848372763E-2</v>
      </c>
    </row>
    <row r="34" spans="1:14">
      <c r="A34" s="8" t="s">
        <v>65</v>
      </c>
      <c r="B34" s="7" t="s">
        <v>66</v>
      </c>
      <c r="C34" s="6">
        <v>1.35E-2</v>
      </c>
      <c r="D34" s="6">
        <v>3.6999999999999998E-2</v>
      </c>
      <c r="E34" s="6">
        <v>5.7200000000000001E-2</v>
      </c>
      <c r="F34" s="6">
        <v>6.88E-2</v>
      </c>
      <c r="G34" s="6">
        <v>8.0500000000000002E-2</v>
      </c>
      <c r="H34" s="6">
        <v>8.8800000000000004E-2</v>
      </c>
      <c r="I34" s="6">
        <v>1.3014912442087597E-2</v>
      </c>
      <c r="J34" s="6">
        <v>3.5981509027040066E-2</v>
      </c>
      <c r="K34" s="6">
        <v>5.604190218987596E-2</v>
      </c>
      <c r="L34" s="6">
        <v>6.7752190890175881E-2</v>
      </c>
      <c r="M34" s="6">
        <v>7.9667265629127293E-2</v>
      </c>
      <c r="N34" s="6">
        <v>8.8062379452970754E-2</v>
      </c>
    </row>
    <row r="35" spans="1:14">
      <c r="A35" s="8" t="s">
        <v>117</v>
      </c>
      <c r="B35" s="7" t="s">
        <v>68</v>
      </c>
      <c r="C35" s="6">
        <v>1.0999999999999999E-2</v>
      </c>
      <c r="D35" s="6">
        <v>1.67E-2</v>
      </c>
      <c r="E35" s="6">
        <v>1.9699999999999999E-2</v>
      </c>
      <c r="F35" s="6">
        <v>2.1499999999999998E-2</v>
      </c>
      <c r="G35" s="6">
        <v>2.29E-2</v>
      </c>
      <c r="H35" s="6">
        <v>2.0299999999999999E-2</v>
      </c>
      <c r="I35" s="6">
        <v>1.045681185757545E-2</v>
      </c>
      <c r="J35" s="6">
        <v>1.6013757479730311E-2</v>
      </c>
      <c r="K35" s="6">
        <v>1.9031901962840651E-2</v>
      </c>
      <c r="L35" s="6">
        <v>2.0877211545487377E-2</v>
      </c>
      <c r="M35" s="6">
        <v>2.2346969697407914E-2</v>
      </c>
      <c r="N35" s="6">
        <v>1.9850553223726822E-2</v>
      </c>
    </row>
    <row r="36" spans="1:14">
      <c r="A36" s="8" t="s">
        <v>69</v>
      </c>
      <c r="B36" s="7" t="s">
        <v>70</v>
      </c>
      <c r="C36" s="6">
        <v>0</v>
      </c>
      <c r="D36" s="6">
        <v>1.12E-2</v>
      </c>
      <c r="E36" s="6">
        <v>2.1100000000000001E-2</v>
      </c>
      <c r="F36" s="6">
        <v>2.6100000000000002E-2</v>
      </c>
      <c r="G36" s="6">
        <v>3.0300000000000001E-2</v>
      </c>
      <c r="H36" s="6">
        <v>2.93E-2</v>
      </c>
      <c r="I36" s="6">
        <v>0</v>
      </c>
      <c r="J36" s="6">
        <v>1.0873548704976107E-2</v>
      </c>
      <c r="K36" s="6">
        <v>2.0638347781335616E-2</v>
      </c>
      <c r="L36" s="6">
        <v>2.5659668704248666E-2</v>
      </c>
      <c r="M36" s="6">
        <v>2.9936587403570945E-2</v>
      </c>
      <c r="N36" s="6">
        <v>2.9008194772701952E-2</v>
      </c>
    </row>
    <row r="37" spans="1:14">
      <c r="A37" s="8" t="s">
        <v>95</v>
      </c>
      <c r="B37" s="7" t="s">
        <v>72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A4D9-55BD-4A5A-9576-5A4B9ABA190F}">
  <dimension ref="A1:E7"/>
  <sheetViews>
    <sheetView tabSelected="1" workbookViewId="0">
      <selection activeCell="M14" sqref="M14"/>
    </sheetView>
  </sheetViews>
  <sheetFormatPr defaultRowHeight="15"/>
  <cols>
    <col min="1" max="1" width="15.85546875" customWidth="1"/>
    <col min="2" max="2" width="23.28515625" customWidth="1"/>
    <col min="3" max="4" width="16.28515625" customWidth="1"/>
    <col min="5" max="5" width="19.42578125" bestFit="1" customWidth="1"/>
  </cols>
  <sheetData>
    <row r="1" spans="1:5">
      <c r="B1" t="s">
        <v>164</v>
      </c>
      <c r="C1" t="s">
        <v>165</v>
      </c>
      <c r="D1" t="s">
        <v>166</v>
      </c>
      <c r="E1" t="s">
        <v>167</v>
      </c>
    </row>
    <row r="2" spans="1:5">
      <c r="A2" t="s">
        <v>168</v>
      </c>
      <c r="B2" s="13">
        <v>0.02</v>
      </c>
      <c r="C2" s="12">
        <v>2.35E-2</v>
      </c>
      <c r="D2" s="12">
        <v>9.7000000000000003E-3</v>
      </c>
      <c r="E2" s="10" cm="1">
        <f t="array" ref="E2">(B2*(1+C2)*(1+D2))/SUMPRODUCT($B$2:$B$5,(1+$C$2:$C$5)*(1+$D$2:$D$5))</f>
        <v>1.9632827515622973E-2</v>
      </c>
    </row>
    <row r="3" spans="1:5">
      <c r="A3" t="s">
        <v>169</v>
      </c>
      <c r="B3" s="13">
        <v>0.3</v>
      </c>
      <c r="C3" s="12">
        <v>0.123</v>
      </c>
      <c r="D3" s="12">
        <v>-2.0999999999999999E-3</v>
      </c>
      <c r="E3" s="10" cm="1">
        <f t="array" ref="E3">(B3*(1+C3)*(1+D3))/SUMPRODUCT($B$2:$B$5,(1+$C$2:$C$5)*(1+$D$2:$D$5))</f>
        <v>0.31934541546289469</v>
      </c>
    </row>
    <row r="4" spans="1:5">
      <c r="A4" t="s">
        <v>170</v>
      </c>
      <c r="B4" s="13">
        <v>0.4</v>
      </c>
      <c r="C4" s="12">
        <v>1.2800000000000001E-2</v>
      </c>
      <c r="D4" s="12">
        <v>2.2200000000000001E-2</v>
      </c>
      <c r="E4" s="10" cm="1">
        <f t="array" ref="E4">(B4*(1+C4)*(1+D4))/SUMPRODUCT($B$2:$B$5,(1+$C$2:$C$5)*(1+$D$2:$D$5))</f>
        <v>0.39336182736177427</v>
      </c>
    </row>
    <row r="5" spans="1:5">
      <c r="A5" t="s">
        <v>171</v>
      </c>
      <c r="B5" s="13">
        <v>0.28000000000000003</v>
      </c>
      <c r="C5" s="12">
        <v>-4.0000000000000001E-3</v>
      </c>
      <c r="D5" s="12">
        <v>1.04E-2</v>
      </c>
      <c r="E5" s="10" cm="1">
        <f t="array" ref="E5">(B5*(1+C5)*(1+D5))/SUMPRODUCT($B$2:$B$5,(1+$C$2:$C$5)*(1+$D$2:$D$5))</f>
        <v>0.26765992965970808</v>
      </c>
    </row>
    <row r="7" spans="1:5">
      <c r="A7" t="s">
        <v>172</v>
      </c>
      <c r="B7" s="13">
        <f>SUM(B2:B5)</f>
        <v>1</v>
      </c>
      <c r="C7" s="13"/>
      <c r="D7" s="13"/>
      <c r="E7" s="13">
        <f t="shared" ref="C7:E7" si="0">SUM(E2:E5)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New Frontier Advisors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 Bai</dc:creator>
  <cp:keywords/>
  <dc:description/>
  <cp:lastModifiedBy>Carrie Feng</cp:lastModifiedBy>
  <cp:revision/>
  <dcterms:created xsi:type="dcterms:W3CDTF">2026-03-30T20:15:25Z</dcterms:created>
  <dcterms:modified xsi:type="dcterms:W3CDTF">2026-03-30T20:47:28Z</dcterms:modified>
  <cp:category/>
  <cp:contentStatus/>
</cp:coreProperties>
</file>